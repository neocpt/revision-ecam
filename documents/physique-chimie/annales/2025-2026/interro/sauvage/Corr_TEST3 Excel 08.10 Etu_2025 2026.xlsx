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camfr-my.sharepoint.com/personal/stephanie_sauvage_ecam_fr/Documents/Documents/SEMESTRE 1_2025 2026/TESTS EN CLASSE/"/>
    </mc:Choice>
  </mc:AlternateContent>
  <xr:revisionPtr revIDLastSave="245" documentId="8_{EDC4D5F0-F94F-473C-B817-61836C9D28DD}" xr6:coauthVersionLast="47" xr6:coauthVersionMax="47" xr10:uidLastSave="{8D9897BC-9148-40F1-B3EE-5EA3155A1356}"/>
  <bookViews>
    <workbookView xWindow="-110" yWindow="-110" windowWidth="19420" windowHeight="10300" xr2:uid="{96DAB3E2-791A-47EB-BB01-7C9029D52C5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8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07" i="1"/>
  <c r="D108" i="1"/>
  <c r="D109" i="1"/>
  <c r="D110" i="1"/>
  <c r="D111" i="1"/>
  <c r="D112" i="1"/>
  <c r="D113" i="1"/>
  <c r="D114" i="1"/>
  <c r="D115" i="1"/>
  <c r="D116" i="1"/>
  <c r="C127" i="1"/>
  <c r="C128" i="1"/>
  <c r="C129" i="1"/>
  <c r="C130" i="1"/>
  <c r="C116" i="1"/>
  <c r="C117" i="1"/>
  <c r="C118" i="1"/>
  <c r="C119" i="1"/>
  <c r="C120" i="1"/>
  <c r="C121" i="1"/>
  <c r="C122" i="1"/>
  <c r="C123" i="1"/>
  <c r="C124" i="1"/>
  <c r="C125" i="1"/>
  <c r="C126" i="1"/>
  <c r="C108" i="1"/>
  <c r="C109" i="1"/>
  <c r="C110" i="1"/>
  <c r="C111" i="1"/>
  <c r="C112" i="1"/>
  <c r="C113" i="1"/>
  <c r="C114" i="1"/>
  <c r="C115" i="1"/>
  <c r="D3" i="1"/>
  <c r="E3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C107" i="1" l="1"/>
  <c r="C12" i="1"/>
  <c r="C99" i="1"/>
  <c r="C67" i="1"/>
  <c r="C59" i="1"/>
  <c r="D58" i="1" s="1"/>
  <c r="C51" i="1"/>
  <c r="C43" i="1"/>
  <c r="C35" i="1"/>
  <c r="C27" i="1"/>
  <c r="C19" i="1"/>
  <c r="C11" i="1"/>
  <c r="C83" i="1"/>
  <c r="C106" i="1"/>
  <c r="C82" i="1"/>
  <c r="C50" i="1"/>
  <c r="C81" i="1"/>
  <c r="C57" i="1"/>
  <c r="C25" i="1"/>
  <c r="C96" i="1"/>
  <c r="C80" i="1"/>
  <c r="C64" i="1"/>
  <c r="D63" i="1" s="1"/>
  <c r="C40" i="1"/>
  <c r="C24" i="1"/>
  <c r="C8" i="1"/>
  <c r="C103" i="1"/>
  <c r="C95" i="1"/>
  <c r="C87" i="1"/>
  <c r="C79" i="1"/>
  <c r="C71" i="1"/>
  <c r="D70" i="1" s="1"/>
  <c r="C63" i="1"/>
  <c r="C55" i="1"/>
  <c r="C47" i="1"/>
  <c r="C39" i="1"/>
  <c r="C31" i="1"/>
  <c r="C23" i="1"/>
  <c r="C15" i="1"/>
  <c r="C75" i="1"/>
  <c r="D74" i="1" s="1"/>
  <c r="C98" i="1"/>
  <c r="C74" i="1"/>
  <c r="C42" i="1"/>
  <c r="C18" i="1"/>
  <c r="C97" i="1"/>
  <c r="D96" i="1" s="1"/>
  <c r="C73" i="1"/>
  <c r="C49" i="1"/>
  <c r="C33" i="1"/>
  <c r="D32" i="1" s="1"/>
  <c r="C9" i="1"/>
  <c r="C104" i="1"/>
  <c r="D103" i="1" s="1"/>
  <c r="C88" i="1"/>
  <c r="C72" i="1"/>
  <c r="C56" i="1"/>
  <c r="C48" i="1"/>
  <c r="C32" i="1"/>
  <c r="C16" i="1"/>
  <c r="C102" i="1"/>
  <c r="C94" i="1"/>
  <c r="C86" i="1"/>
  <c r="C78" i="1"/>
  <c r="C70" i="1"/>
  <c r="C62" i="1"/>
  <c r="C54" i="1"/>
  <c r="C46" i="1"/>
  <c r="D45" i="1" s="1"/>
  <c r="C38" i="1"/>
  <c r="C30" i="1"/>
  <c r="C22" i="1"/>
  <c r="C14" i="1"/>
  <c r="C91" i="1"/>
  <c r="C90" i="1"/>
  <c r="C58" i="1"/>
  <c r="D57" i="1" s="1"/>
  <c r="C26" i="1"/>
  <c r="C105" i="1"/>
  <c r="C101" i="1"/>
  <c r="C93" i="1"/>
  <c r="C77" i="1"/>
  <c r="C69" i="1"/>
  <c r="C61" i="1"/>
  <c r="C53" i="1"/>
  <c r="C37" i="1"/>
  <c r="C29" i="1"/>
  <c r="C21" i="1"/>
  <c r="C13" i="1"/>
  <c r="C66" i="1"/>
  <c r="C34" i="1"/>
  <c r="C10" i="1"/>
  <c r="D11" i="1" s="1"/>
  <c r="C89" i="1"/>
  <c r="D88" i="1" s="1"/>
  <c r="C65" i="1"/>
  <c r="C41" i="1"/>
  <c r="C17" i="1"/>
  <c r="C85" i="1"/>
  <c r="C45" i="1"/>
  <c r="C7" i="1"/>
  <c r="C100" i="1"/>
  <c r="C92" i="1"/>
  <c r="C84" i="1"/>
  <c r="C76" i="1"/>
  <c r="C68" i="1"/>
  <c r="C60" i="1"/>
  <c r="C52" i="1"/>
  <c r="C44" i="1"/>
  <c r="C36" i="1"/>
  <c r="C28" i="1"/>
  <c r="C20" i="1"/>
  <c r="D35" i="1" l="1"/>
  <c r="D41" i="1"/>
  <c r="D91" i="1"/>
  <c r="D13" i="1"/>
  <c r="D15" i="1"/>
  <c r="D78" i="1"/>
  <c r="D79" i="1"/>
  <c r="D19" i="1"/>
  <c r="D53" i="1"/>
  <c r="D68" i="1"/>
  <c r="D59" i="1"/>
  <c r="D84" i="1"/>
  <c r="D12" i="1"/>
  <c r="D92" i="1"/>
  <c r="D21" i="1"/>
  <c r="D85" i="1"/>
  <c r="D46" i="1"/>
  <c r="D80" i="1"/>
  <c r="D34" i="1"/>
  <c r="D20" i="1"/>
  <c r="D93" i="1"/>
  <c r="D73" i="1"/>
  <c r="D54" i="1"/>
  <c r="D49" i="1"/>
  <c r="D42" i="1"/>
  <c r="D67" i="1"/>
  <c r="D16" i="1"/>
  <c r="D100" i="1"/>
  <c r="D29" i="1"/>
  <c r="D40" i="1"/>
  <c r="D28" i="1"/>
  <c r="D104" i="1"/>
  <c r="D37" i="1"/>
  <c r="D101" i="1"/>
  <c r="D8" i="1"/>
  <c r="D97" i="1"/>
  <c r="D62" i="1"/>
  <c r="D81" i="1"/>
  <c r="D50" i="1"/>
  <c r="D64" i="1"/>
  <c r="D36" i="1"/>
  <c r="D105" i="1"/>
  <c r="D31" i="1"/>
  <c r="D48" i="1"/>
  <c r="D14" i="1"/>
  <c r="D82" i="1"/>
  <c r="D66" i="1"/>
  <c r="D75" i="1"/>
  <c r="D52" i="1"/>
  <c r="D99" i="1"/>
  <c r="D89" i="1"/>
  <c r="D47" i="1"/>
  <c r="D72" i="1"/>
  <c r="D22" i="1"/>
  <c r="D86" i="1"/>
  <c r="D95" i="1"/>
  <c r="D10" i="1"/>
  <c r="D98" i="1"/>
  <c r="D23" i="1"/>
  <c r="D27" i="1"/>
  <c r="D60" i="1"/>
  <c r="D43" i="1"/>
  <c r="D90" i="1"/>
  <c r="D69" i="1"/>
  <c r="D55" i="1"/>
  <c r="D30" i="1"/>
  <c r="D94" i="1"/>
  <c r="D24" i="1"/>
  <c r="D18" i="1"/>
  <c r="D87" i="1"/>
  <c r="D39" i="1"/>
  <c r="D83" i="1"/>
  <c r="D25" i="1"/>
  <c r="D9" i="1"/>
  <c r="D61" i="1"/>
  <c r="D33" i="1"/>
  <c r="D51" i="1"/>
  <c r="D44" i="1"/>
  <c r="D65" i="1"/>
  <c r="D76" i="1"/>
  <c r="D77" i="1"/>
  <c r="D71" i="1"/>
  <c r="D17" i="1"/>
  <c r="D38" i="1"/>
  <c r="D102" i="1"/>
  <c r="D56" i="1"/>
  <c r="D26" i="1"/>
  <c r="D106" i="1"/>
</calcChain>
</file>

<file path=xl/sharedStrings.xml><?xml version="1.0" encoding="utf-8"?>
<sst xmlns="http://schemas.openxmlformats.org/spreadsheetml/2006/main" count="12" uniqueCount="12">
  <si>
    <t>Valeurs constantes</t>
  </si>
  <si>
    <t>g (m/s^2)</t>
  </si>
  <si>
    <t>L (m)</t>
  </si>
  <si>
    <t>theta_0 (rad)</t>
  </si>
  <si>
    <t xml:space="preserve">CASES A COMPLETER </t>
  </si>
  <si>
    <t>theta(t) - deg</t>
  </si>
  <si>
    <t>Temps : t(s) = [0 ; 2]</t>
  </si>
  <si>
    <t>w_0 (rad/s)</t>
  </si>
  <si>
    <t>VALEURS EXPERIMENTALES</t>
  </si>
  <si>
    <t>d[theta(t)]/dt _rad/s</t>
  </si>
  <si>
    <t>theta(t) _ rad = Q1C/</t>
  </si>
  <si>
    <t>vitesse _m/s = formule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</si>
</sst>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0" fontId="1" fillId="3" borderId="0" xfId="0" applyFont="1" applyFill="1"/>
    <xf numFmtId="2" fontId="0" fillId="0" borderId="0" xfId="0" applyNumberFormat="1"/>
    <xf numFmtId="2" fontId="0" fillId="3" borderId="0" xfId="0" applyNumberFormat="1" applyFill="1" applyAlignment="1">
      <alignment horizontal="center" vertical="center"/>
    </xf>
    <xf numFmtId="164" fontId="0" fillId="3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65" fontId="0" fillId="0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v</a:t>
            </a:r>
            <a:r>
              <a:rPr lang="fr-FR" baseline="0"/>
              <a:t> = f(t) - série 1 / theta = f(t) - série 2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Feuil1!$A$7:$A$130</c:f>
              <c:numCache>
                <c:formatCode>General</c:formatCode>
                <c:ptCount val="124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0.12000000000000001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0.21999999999999997</c:v>
                </c:pt>
                <c:pt idx="12">
                  <c:v>0.23999999999999996</c:v>
                </c:pt>
                <c:pt idx="13">
                  <c:v>0.25999999999999995</c:v>
                </c:pt>
                <c:pt idx="14">
                  <c:v>0.27999999999999997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0.36000000000000004</c:v>
                </c:pt>
                <c:pt idx="19">
                  <c:v>0.38000000000000006</c:v>
                </c:pt>
                <c:pt idx="20">
                  <c:v>0.40000000000000008</c:v>
                </c:pt>
                <c:pt idx="21">
                  <c:v>0.4200000000000001</c:v>
                </c:pt>
                <c:pt idx="22">
                  <c:v>0.44000000000000011</c:v>
                </c:pt>
                <c:pt idx="23">
                  <c:v>0.46000000000000013</c:v>
                </c:pt>
                <c:pt idx="24">
                  <c:v>0.48000000000000015</c:v>
                </c:pt>
                <c:pt idx="25">
                  <c:v>0.50000000000000011</c:v>
                </c:pt>
                <c:pt idx="26">
                  <c:v>0.52000000000000013</c:v>
                </c:pt>
                <c:pt idx="27">
                  <c:v>0.54000000000000015</c:v>
                </c:pt>
                <c:pt idx="28">
                  <c:v>0.56000000000000016</c:v>
                </c:pt>
                <c:pt idx="29">
                  <c:v>0.58000000000000018</c:v>
                </c:pt>
                <c:pt idx="30">
                  <c:v>0.6000000000000002</c:v>
                </c:pt>
                <c:pt idx="31">
                  <c:v>0.62000000000000022</c:v>
                </c:pt>
                <c:pt idx="32">
                  <c:v>0.64000000000000024</c:v>
                </c:pt>
                <c:pt idx="33">
                  <c:v>0.66000000000000025</c:v>
                </c:pt>
                <c:pt idx="34">
                  <c:v>0.68000000000000027</c:v>
                </c:pt>
                <c:pt idx="35">
                  <c:v>0.70000000000000029</c:v>
                </c:pt>
                <c:pt idx="36">
                  <c:v>0.72000000000000031</c:v>
                </c:pt>
                <c:pt idx="37">
                  <c:v>0.74000000000000032</c:v>
                </c:pt>
                <c:pt idx="38">
                  <c:v>0.76000000000000034</c:v>
                </c:pt>
                <c:pt idx="39">
                  <c:v>0.78000000000000036</c:v>
                </c:pt>
                <c:pt idx="40">
                  <c:v>0.80000000000000038</c:v>
                </c:pt>
                <c:pt idx="41">
                  <c:v>0.8200000000000004</c:v>
                </c:pt>
                <c:pt idx="42">
                  <c:v>0.84000000000000041</c:v>
                </c:pt>
                <c:pt idx="43">
                  <c:v>0.86000000000000043</c:v>
                </c:pt>
                <c:pt idx="44">
                  <c:v>0.88000000000000045</c:v>
                </c:pt>
                <c:pt idx="45">
                  <c:v>0.90000000000000047</c:v>
                </c:pt>
                <c:pt idx="46">
                  <c:v>0.92000000000000048</c:v>
                </c:pt>
                <c:pt idx="47">
                  <c:v>0.9400000000000005</c:v>
                </c:pt>
                <c:pt idx="48">
                  <c:v>0.96000000000000052</c:v>
                </c:pt>
                <c:pt idx="49">
                  <c:v>0.98000000000000054</c:v>
                </c:pt>
                <c:pt idx="50">
                  <c:v>1.0000000000000004</c:v>
                </c:pt>
                <c:pt idx="51">
                  <c:v>1.0200000000000005</c:v>
                </c:pt>
                <c:pt idx="52">
                  <c:v>1.0400000000000005</c:v>
                </c:pt>
                <c:pt idx="53">
                  <c:v>1.0600000000000005</c:v>
                </c:pt>
                <c:pt idx="54">
                  <c:v>1.0800000000000005</c:v>
                </c:pt>
                <c:pt idx="55">
                  <c:v>1.1000000000000005</c:v>
                </c:pt>
                <c:pt idx="56">
                  <c:v>1.1200000000000006</c:v>
                </c:pt>
                <c:pt idx="57">
                  <c:v>1.1400000000000006</c:v>
                </c:pt>
                <c:pt idx="58">
                  <c:v>1.1600000000000006</c:v>
                </c:pt>
                <c:pt idx="59">
                  <c:v>1.1800000000000006</c:v>
                </c:pt>
                <c:pt idx="60">
                  <c:v>1.2000000000000006</c:v>
                </c:pt>
                <c:pt idx="61">
                  <c:v>1.2200000000000006</c:v>
                </c:pt>
                <c:pt idx="62">
                  <c:v>1.2400000000000007</c:v>
                </c:pt>
                <c:pt idx="63">
                  <c:v>1.2600000000000007</c:v>
                </c:pt>
                <c:pt idx="64">
                  <c:v>1.2800000000000007</c:v>
                </c:pt>
                <c:pt idx="65">
                  <c:v>1.3000000000000007</c:v>
                </c:pt>
                <c:pt idx="66">
                  <c:v>1.3200000000000007</c:v>
                </c:pt>
                <c:pt idx="67">
                  <c:v>1.3400000000000007</c:v>
                </c:pt>
                <c:pt idx="68">
                  <c:v>1.3600000000000008</c:v>
                </c:pt>
                <c:pt idx="69">
                  <c:v>1.3800000000000008</c:v>
                </c:pt>
                <c:pt idx="70">
                  <c:v>1.4000000000000008</c:v>
                </c:pt>
                <c:pt idx="71">
                  <c:v>1.4200000000000008</c:v>
                </c:pt>
                <c:pt idx="72">
                  <c:v>1.4400000000000008</c:v>
                </c:pt>
                <c:pt idx="73">
                  <c:v>1.4600000000000009</c:v>
                </c:pt>
                <c:pt idx="74">
                  <c:v>1.4800000000000009</c:v>
                </c:pt>
                <c:pt idx="75">
                  <c:v>1.5000000000000009</c:v>
                </c:pt>
                <c:pt idx="76">
                  <c:v>1.5200000000000009</c:v>
                </c:pt>
                <c:pt idx="77">
                  <c:v>1.5400000000000009</c:v>
                </c:pt>
                <c:pt idx="78">
                  <c:v>1.5600000000000009</c:v>
                </c:pt>
                <c:pt idx="79">
                  <c:v>1.580000000000001</c:v>
                </c:pt>
                <c:pt idx="80">
                  <c:v>1.600000000000001</c:v>
                </c:pt>
                <c:pt idx="81">
                  <c:v>1.620000000000001</c:v>
                </c:pt>
                <c:pt idx="82">
                  <c:v>1.640000000000001</c:v>
                </c:pt>
                <c:pt idx="83">
                  <c:v>1.660000000000001</c:v>
                </c:pt>
                <c:pt idx="84">
                  <c:v>1.680000000000001</c:v>
                </c:pt>
                <c:pt idx="85">
                  <c:v>1.7000000000000011</c:v>
                </c:pt>
                <c:pt idx="86">
                  <c:v>1.7200000000000011</c:v>
                </c:pt>
                <c:pt idx="87">
                  <c:v>1.7400000000000011</c:v>
                </c:pt>
                <c:pt idx="88">
                  <c:v>1.7600000000000011</c:v>
                </c:pt>
                <c:pt idx="89">
                  <c:v>1.7800000000000011</c:v>
                </c:pt>
                <c:pt idx="90">
                  <c:v>1.8000000000000012</c:v>
                </c:pt>
                <c:pt idx="91">
                  <c:v>1.8200000000000012</c:v>
                </c:pt>
                <c:pt idx="92">
                  <c:v>1.8400000000000012</c:v>
                </c:pt>
                <c:pt idx="93">
                  <c:v>1.8600000000000012</c:v>
                </c:pt>
                <c:pt idx="94">
                  <c:v>1.8800000000000012</c:v>
                </c:pt>
                <c:pt idx="95">
                  <c:v>1.9000000000000012</c:v>
                </c:pt>
                <c:pt idx="96">
                  <c:v>1.9200000000000013</c:v>
                </c:pt>
                <c:pt idx="97">
                  <c:v>1.9400000000000013</c:v>
                </c:pt>
                <c:pt idx="98">
                  <c:v>1.9600000000000013</c:v>
                </c:pt>
                <c:pt idx="99">
                  <c:v>1.9800000000000013</c:v>
                </c:pt>
                <c:pt idx="100">
                  <c:v>2.0000000000000013</c:v>
                </c:pt>
                <c:pt idx="101" formatCode="0.00">
                  <c:v>2.02</c:v>
                </c:pt>
                <c:pt idx="102" formatCode="0.00">
                  <c:v>2.04</c:v>
                </c:pt>
                <c:pt idx="103" formatCode="0.00">
                  <c:v>2.06</c:v>
                </c:pt>
                <c:pt idx="104" formatCode="0.00">
                  <c:v>2.08</c:v>
                </c:pt>
                <c:pt idx="105" formatCode="0.00">
                  <c:v>2.1</c:v>
                </c:pt>
                <c:pt idx="106" formatCode="0.00">
                  <c:v>2.12</c:v>
                </c:pt>
                <c:pt idx="107" formatCode="0.00">
                  <c:v>2.14</c:v>
                </c:pt>
                <c:pt idx="108" formatCode="0.00">
                  <c:v>2.16</c:v>
                </c:pt>
                <c:pt idx="109" formatCode="0.00">
                  <c:v>2.1800000000000002</c:v>
                </c:pt>
                <c:pt idx="110" formatCode="0.00">
                  <c:v>2.2000000000000002</c:v>
                </c:pt>
                <c:pt idx="111" formatCode="0.00">
                  <c:v>2.2200000000000002</c:v>
                </c:pt>
                <c:pt idx="112" formatCode="0.00">
                  <c:v>2.2400000000000002</c:v>
                </c:pt>
                <c:pt idx="113" formatCode="0.00">
                  <c:v>2.2599999999999998</c:v>
                </c:pt>
                <c:pt idx="114" formatCode="0.00">
                  <c:v>2.2799999999999998</c:v>
                </c:pt>
                <c:pt idx="115" formatCode="0.00">
                  <c:v>2.2999999999999998</c:v>
                </c:pt>
                <c:pt idx="116" formatCode="0.00">
                  <c:v>2.3199999999999998</c:v>
                </c:pt>
                <c:pt idx="117" formatCode="0.00">
                  <c:v>2.34</c:v>
                </c:pt>
                <c:pt idx="118" formatCode="0.00">
                  <c:v>2.36</c:v>
                </c:pt>
                <c:pt idx="119" formatCode="0.00">
                  <c:v>2.38</c:v>
                </c:pt>
                <c:pt idx="120" formatCode="0.00">
                  <c:v>2.4</c:v>
                </c:pt>
                <c:pt idx="121" formatCode="0.00">
                  <c:v>2.42</c:v>
                </c:pt>
                <c:pt idx="122" formatCode="0.00">
                  <c:v>2.44</c:v>
                </c:pt>
                <c:pt idx="123" formatCode="0.00">
                  <c:v>2.46</c:v>
                </c:pt>
              </c:numCache>
            </c:numRef>
          </c:xVal>
          <c:yVal>
            <c:numRef>
              <c:f>Feuil1!$E$8:$E$129</c:f>
              <c:numCache>
                <c:formatCode>0.0000</c:formatCode>
                <c:ptCount val="122"/>
                <c:pt idx="0">
                  <c:v>-3.4153872979209715E-2</c:v>
                </c:pt>
                <c:pt idx="1">
                  <c:v>-6.803988161532272E-2</c:v>
                </c:pt>
                <c:pt idx="2">
                  <c:v>-0.10139226239012748</c:v>
                </c:pt>
                <c:pt idx="3">
                  <c:v>-0.13394943695868991</c:v>
                </c:pt>
                <c:pt idx="4">
                  <c:v>-0.1654560636739823</c:v>
                </c:pt>
                <c:pt idx="5">
                  <c:v>-0.19566504019790582</c:v>
                </c:pt>
                <c:pt idx="6">
                  <c:v>-0.22433944149249621</c:v>
                </c:pt>
                <c:pt idx="7">
                  <c:v>-0.25125437799190081</c:v>
                </c:pt>
                <c:pt idx="8">
                  <c:v>-0.27619875938172717</c:v>
                </c:pt>
                <c:pt idx="9">
                  <c:v>-0.29897695015267223</c:v>
                </c:pt>
                <c:pt idx="10">
                  <c:v>-0.31941030394414555</c:v>
                </c:pt>
                <c:pt idx="11">
                  <c:v>-0.33733856464422812</c:v>
                </c:pt>
                <c:pt idx="12">
                  <c:v>-0.35262112325732536</c:v>
                </c:pt>
                <c:pt idx="13">
                  <c:v>-0.36513812068206214</c:v>
                </c:pt>
                <c:pt idx="14">
                  <c:v>-0.37479138775048526</c:v>
                </c:pt>
                <c:pt idx="15">
                  <c:v>-0.38150521515596486</c:v>
                </c:pt>
                <c:pt idx="16">
                  <c:v>-0.38522694723134571</c:v>
                </c:pt>
                <c:pt idx="17">
                  <c:v>-0.38592739492043615</c:v>
                </c:pt>
                <c:pt idx="18">
                  <c:v>-0.38360106470394395</c:v>
                </c:pt>
                <c:pt idx="19">
                  <c:v>-0.37826620168442759</c:v>
                </c:pt>
                <c:pt idx="20">
                  <c:v>-0.36996464649235089</c:v>
                </c:pt>
                <c:pt idx="21">
                  <c:v>-0.35876150713551042</c:v>
                </c:pt>
                <c:pt idx="22">
                  <c:v>-0.34474464836547469</c:v>
                </c:pt>
                <c:pt idx="23">
                  <c:v>-0.32802400256587216</c:v>
                </c:pt>
                <c:pt idx="24">
                  <c:v>-0.30873070756713378</c:v>
                </c:pt>
                <c:pt idx="25">
                  <c:v>-0.28701607814969654</c:v>
                </c:pt>
                <c:pt idx="26">
                  <c:v>-0.26305041930204903</c:v>
                </c:pt>
                <c:pt idx="27">
                  <c:v>-0.23702169054105202</c:v>
                </c:pt>
                <c:pt idx="28">
                  <c:v>-0.20913403177012044</c:v>
                </c:pt>
                <c:pt idx="29">
                  <c:v>-0.1796061622367536</c:v>
                </c:pt>
                <c:pt idx="30">
                  <c:v>-0.14866966514618268</c:v>
                </c:pt>
                <c:pt idx="31">
                  <c:v>-0.11656717138469043</c:v>
                </c:pt>
                <c:pt idx="32">
                  <c:v>-8.3550456597411144E-2</c:v>
                </c:pt>
                <c:pt idx="33">
                  <c:v>-4.9878466544993991E-2</c:v>
                </c:pt>
                <c:pt idx="34">
                  <c:v>-1.5815286225988309E-2</c:v>
                </c:pt>
                <c:pt idx="35">
                  <c:v>1.8371931307139388E-2</c:v>
                </c:pt>
                <c:pt idx="36">
                  <c:v>5.2415060194332209E-2</c:v>
                </c:pt>
                <c:pt idx="37">
                  <c:v>8.6047104643871122E-2</c:v>
                </c:pt>
                <c:pt idx="38">
                  <c:v>0.11900429294532759</c:v>
                </c:pt>
                <c:pt idx="39">
                  <c:v>0.15102814619646826</c:v>
                </c:pt>
                <c:pt idx="40">
                  <c:v>0.18186750551935899</c:v>
                </c:pt>
                <c:pt idx="41">
                  <c:v>0.21128050186648098</c:v>
                </c:pt>
                <c:pt idx="42">
                  <c:v>0.23903645296792453</c:v>
                </c:pt>
                <c:pt idx="43">
                  <c:v>0.26491767254215692</c:v>
                </c:pt>
                <c:pt idx="44">
                  <c:v>0.28872117758095395</c:v>
                </c:pt>
                <c:pt idx="45">
                  <c:v>0.31026028031849179</c:v>
                </c:pt>
                <c:pt idx="46">
                  <c:v>0.32936605239900085</c:v>
                </c:pt>
                <c:pt idx="47">
                  <c:v>0.34588864975967676</c:v>
                </c:pt>
                <c:pt idx="48">
                  <c:v>0.35969848783799796</c:v>
                </c:pt>
                <c:pt idx="49">
                  <c:v>0.37068725788645379</c:v>
                </c:pt>
                <c:pt idx="50">
                  <c:v>0.37876877642382523</c:v>
                </c:pt>
                <c:pt idx="51">
                  <c:v>0.3838796611609171</c:v>
                </c:pt>
                <c:pt idx="52">
                  <c:v>0.38597982809953629</c:v>
                </c:pt>
                <c:pt idx="53">
                  <c:v>0.38505280590603302</c:v>
                </c:pt>
                <c:pt idx="54">
                  <c:v>0.38110586509379973</c:v>
                </c:pt>
                <c:pt idx="55">
                  <c:v>0.37416996100158872</c:v>
                </c:pt>
                <c:pt idx="56">
                  <c:v>0.36429949101486164</c:v>
                </c:pt>
                <c:pt idx="57">
                  <c:v>0.35157186793423356</c:v>
                </c:pt>
                <c:pt idx="58">
                  <c:v>0.33608691283703157</c:v>
                </c:pt>
                <c:pt idx="59">
                  <c:v>0.31796607219368694</c:v>
                </c:pt>
                <c:pt idx="60">
                  <c:v>0.2973514653790148</c:v>
                </c:pt>
                <c:pt idx="61">
                  <c:v>0.27440477004860792</c:v>
                </c:pt>
                <c:pt idx="62">
                  <c:v>0.2493059541222003</c:v>
                </c:pt>
                <c:pt idx="63">
                  <c:v>0.22225186431889407</c:v>
                </c:pt>
                <c:pt idx="64">
                  <c:v>0.19345468231418053</c:v>
                </c:pt>
                <c:pt idx="65">
                  <c:v>0.16314026062690687</c:v>
                </c:pt>
                <c:pt idx="66">
                  <c:v>0.13154635128761563</c:v>
                </c:pt>
                <c:pt idx="67">
                  <c:v>9.892074118056883E-2</c:v>
                </c:pt>
                <c:pt idx="68">
                  <c:v>6.551930868374066E-2</c:v>
                </c:pt>
                <c:pt idx="69">
                  <c:v>3.1604016848282471E-2</c:v>
                </c:pt>
                <c:pt idx="70">
                  <c:v>-2.5591411433056161E-3</c:v>
                </c:pt>
                <c:pt idx="71">
                  <c:v>-3.6702228126792684E-2</c:v>
                </c:pt>
                <c:pt idx="72">
                  <c:v>-7.055746435223012E-2</c:v>
                </c:pt>
                <c:pt idx="73">
                  <c:v>-0.10385932764538493</c:v>
                </c:pt>
                <c:pt idx="74">
                  <c:v>-0.13634663586330256</c:v>
                </c:pt>
                <c:pt idx="75">
                  <c:v>-0.16776459531157256</c:v>
                </c:pt>
                <c:pt idx="76">
                  <c:v>-0.19786679905783364</c:v>
                </c:pt>
                <c:pt idx="77">
                  <c:v>-0.22641715946900268</c:v>
                </c:pt>
                <c:pt idx="78">
                  <c:v>-0.25319175981559405</c:v>
                </c:pt>
                <c:pt idx="79">
                  <c:v>-0.2779806104212455</c:v>
                </c:pt>
                <c:pt idx="80">
                  <c:v>-0.3005892955841814</c:v>
                </c:pt>
                <c:pt idx="81">
                  <c:v>-0.32084049835404471</c:v>
                </c:pt>
                <c:pt idx="82">
                  <c:v>-0.33857539120547081</c:v>
                </c:pt>
                <c:pt idx="83">
                  <c:v>-0.35365488170152581</c:v>
                </c:pt>
                <c:pt idx="84">
                  <c:v>-0.36596070337742481</c:v>
                </c:pt>
                <c:pt idx="85">
                  <c:v>-0.37539634328889288</c:v>
                </c:pt>
                <c:pt idx="86">
                  <c:v>-0.38188779895052721</c:v>
                </c:pt>
                <c:pt idx="87">
                  <c:v>-0.38538415872757797</c:v>
                </c:pt>
                <c:pt idx="88">
                  <c:v>-0.38585800112920932</c:v>
                </c:pt>
                <c:pt idx="89">
                  <c:v>-0.38330560987165091</c:v>
                </c:pt>
                <c:pt idx="90">
                  <c:v>-0.37774700302454151</c:v>
                </c:pt>
                <c:pt idx="91">
                  <c:v>-0.36922577601181866</c:v>
                </c:pt>
                <c:pt idx="92">
                  <c:v>-0.35780875969853204</c:v>
                </c:pt>
                <c:pt idx="93">
                  <c:v>-0.34358549624515167</c:v>
                </c:pt>
                <c:pt idx="94">
                  <c:v>-0.32666753684014593</c:v>
                </c:pt>
                <c:pt idx="95">
                  <c:v>-0.30718756681865433</c:v>
                </c:pt>
                <c:pt idx="96">
                  <c:v>-0.28529836502881939</c:v>
                </c:pt>
                <c:pt idx="97">
                  <c:v>-0.26117160560732933</c:v>
                </c:pt>
                <c:pt idx="98">
                  <c:v>-0.23499651156170648</c:v>
                </c:pt>
                <c:pt idx="99">
                  <c:v>-0.2069783707190844</c:v>
                </c:pt>
                <c:pt idx="100">
                  <c:v>-0.17733692568071646</c:v>
                </c:pt>
                <c:pt idx="101">
                  <c:v>-0.14630465040961826</c:v>
                </c:pt>
                <c:pt idx="102">
                  <c:v>-0.11412492696776963</c:v>
                </c:pt>
                <c:pt idx="103">
                  <c:v>-8.1050136702552206E-2</c:v>
                </c:pt>
                <c:pt idx="104">
                  <c:v>-4.7339680852967775E-2</c:v>
                </c:pt>
                <c:pt idx="105">
                  <c:v>-1.3257946099762956E-2</c:v>
                </c:pt>
                <c:pt idx="106">
                  <c:v>2.09277689846042E-2</c:v>
                </c:pt>
                <c:pt idx="107">
                  <c:v>5.4949350323583605E-2</c:v>
                </c:pt>
                <c:pt idx="108">
                  <c:v>8.853997112005059E-2</c:v>
                </c:pt>
                <c:pt idx="109">
                  <c:v>0.12143618454385034</c:v>
                </c:pt>
                <c:pt idx="110">
                  <c:v>0.15337998991071128</c:v>
                </c:pt>
                <c:pt idx="111">
                  <c:v>0.1841208561477474</c:v>
                </c:pt>
                <c:pt idx="112">
                  <c:v>0.21341768667578903</c:v>
                </c:pt>
                <c:pt idx="113">
                  <c:v>0.2410407102981999</c:v>
                </c:pt>
                <c:pt idx="114">
                  <c:v>0.26677328326621375</c:v>
                </c:pt>
                <c:pt idx="115">
                  <c:v>0.29041358838743081</c:v>
                </c:pt>
                <c:pt idx="116">
                  <c:v>0.31177621785156473</c:v>
                </c:pt>
                <c:pt idx="117">
                  <c:v>0.3306936273595617</c:v>
                </c:pt>
                <c:pt idx="118">
                  <c:v>0.3470174501515515</c:v>
                </c:pt>
                <c:pt idx="119">
                  <c:v>0.36061966062786682</c:v>
                </c:pt>
                <c:pt idx="120">
                  <c:v>0.37139357843703197</c:v>
                </c:pt>
                <c:pt idx="121">
                  <c:v>0.37925470515574156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E3-478B-9177-38484A279F4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Feuil1!$A$7:$A$130</c:f>
              <c:numCache>
                <c:formatCode>General</c:formatCode>
                <c:ptCount val="124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0.12000000000000001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0.19999999999999998</c:v>
                </c:pt>
                <c:pt idx="11">
                  <c:v>0.21999999999999997</c:v>
                </c:pt>
                <c:pt idx="12">
                  <c:v>0.23999999999999996</c:v>
                </c:pt>
                <c:pt idx="13">
                  <c:v>0.25999999999999995</c:v>
                </c:pt>
                <c:pt idx="14">
                  <c:v>0.27999999999999997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0.36000000000000004</c:v>
                </c:pt>
                <c:pt idx="19">
                  <c:v>0.38000000000000006</c:v>
                </c:pt>
                <c:pt idx="20">
                  <c:v>0.40000000000000008</c:v>
                </c:pt>
                <c:pt idx="21">
                  <c:v>0.4200000000000001</c:v>
                </c:pt>
                <c:pt idx="22">
                  <c:v>0.44000000000000011</c:v>
                </c:pt>
                <c:pt idx="23">
                  <c:v>0.46000000000000013</c:v>
                </c:pt>
                <c:pt idx="24">
                  <c:v>0.48000000000000015</c:v>
                </c:pt>
                <c:pt idx="25">
                  <c:v>0.50000000000000011</c:v>
                </c:pt>
                <c:pt idx="26">
                  <c:v>0.52000000000000013</c:v>
                </c:pt>
                <c:pt idx="27">
                  <c:v>0.54000000000000015</c:v>
                </c:pt>
                <c:pt idx="28">
                  <c:v>0.56000000000000016</c:v>
                </c:pt>
                <c:pt idx="29">
                  <c:v>0.58000000000000018</c:v>
                </c:pt>
                <c:pt idx="30">
                  <c:v>0.6000000000000002</c:v>
                </c:pt>
                <c:pt idx="31">
                  <c:v>0.62000000000000022</c:v>
                </c:pt>
                <c:pt idx="32">
                  <c:v>0.64000000000000024</c:v>
                </c:pt>
                <c:pt idx="33">
                  <c:v>0.66000000000000025</c:v>
                </c:pt>
                <c:pt idx="34">
                  <c:v>0.68000000000000027</c:v>
                </c:pt>
                <c:pt idx="35">
                  <c:v>0.70000000000000029</c:v>
                </c:pt>
                <c:pt idx="36">
                  <c:v>0.72000000000000031</c:v>
                </c:pt>
                <c:pt idx="37">
                  <c:v>0.74000000000000032</c:v>
                </c:pt>
                <c:pt idx="38">
                  <c:v>0.76000000000000034</c:v>
                </c:pt>
                <c:pt idx="39">
                  <c:v>0.78000000000000036</c:v>
                </c:pt>
                <c:pt idx="40">
                  <c:v>0.80000000000000038</c:v>
                </c:pt>
                <c:pt idx="41">
                  <c:v>0.8200000000000004</c:v>
                </c:pt>
                <c:pt idx="42">
                  <c:v>0.84000000000000041</c:v>
                </c:pt>
                <c:pt idx="43">
                  <c:v>0.86000000000000043</c:v>
                </c:pt>
                <c:pt idx="44">
                  <c:v>0.88000000000000045</c:v>
                </c:pt>
                <c:pt idx="45">
                  <c:v>0.90000000000000047</c:v>
                </c:pt>
                <c:pt idx="46">
                  <c:v>0.92000000000000048</c:v>
                </c:pt>
                <c:pt idx="47">
                  <c:v>0.9400000000000005</c:v>
                </c:pt>
                <c:pt idx="48">
                  <c:v>0.96000000000000052</c:v>
                </c:pt>
                <c:pt idx="49">
                  <c:v>0.98000000000000054</c:v>
                </c:pt>
                <c:pt idx="50">
                  <c:v>1.0000000000000004</c:v>
                </c:pt>
                <c:pt idx="51">
                  <c:v>1.0200000000000005</c:v>
                </c:pt>
                <c:pt idx="52">
                  <c:v>1.0400000000000005</c:v>
                </c:pt>
                <c:pt idx="53">
                  <c:v>1.0600000000000005</c:v>
                </c:pt>
                <c:pt idx="54">
                  <c:v>1.0800000000000005</c:v>
                </c:pt>
                <c:pt idx="55">
                  <c:v>1.1000000000000005</c:v>
                </c:pt>
                <c:pt idx="56">
                  <c:v>1.1200000000000006</c:v>
                </c:pt>
                <c:pt idx="57">
                  <c:v>1.1400000000000006</c:v>
                </c:pt>
                <c:pt idx="58">
                  <c:v>1.1600000000000006</c:v>
                </c:pt>
                <c:pt idx="59">
                  <c:v>1.1800000000000006</c:v>
                </c:pt>
                <c:pt idx="60">
                  <c:v>1.2000000000000006</c:v>
                </c:pt>
                <c:pt idx="61">
                  <c:v>1.2200000000000006</c:v>
                </c:pt>
                <c:pt idx="62">
                  <c:v>1.2400000000000007</c:v>
                </c:pt>
                <c:pt idx="63">
                  <c:v>1.2600000000000007</c:v>
                </c:pt>
                <c:pt idx="64">
                  <c:v>1.2800000000000007</c:v>
                </c:pt>
                <c:pt idx="65">
                  <c:v>1.3000000000000007</c:v>
                </c:pt>
                <c:pt idx="66">
                  <c:v>1.3200000000000007</c:v>
                </c:pt>
                <c:pt idx="67">
                  <c:v>1.3400000000000007</c:v>
                </c:pt>
                <c:pt idx="68">
                  <c:v>1.3600000000000008</c:v>
                </c:pt>
                <c:pt idx="69">
                  <c:v>1.3800000000000008</c:v>
                </c:pt>
                <c:pt idx="70">
                  <c:v>1.4000000000000008</c:v>
                </c:pt>
                <c:pt idx="71">
                  <c:v>1.4200000000000008</c:v>
                </c:pt>
                <c:pt idx="72">
                  <c:v>1.4400000000000008</c:v>
                </c:pt>
                <c:pt idx="73">
                  <c:v>1.4600000000000009</c:v>
                </c:pt>
                <c:pt idx="74">
                  <c:v>1.4800000000000009</c:v>
                </c:pt>
                <c:pt idx="75">
                  <c:v>1.5000000000000009</c:v>
                </c:pt>
                <c:pt idx="76">
                  <c:v>1.5200000000000009</c:v>
                </c:pt>
                <c:pt idx="77">
                  <c:v>1.5400000000000009</c:v>
                </c:pt>
                <c:pt idx="78">
                  <c:v>1.5600000000000009</c:v>
                </c:pt>
                <c:pt idx="79">
                  <c:v>1.580000000000001</c:v>
                </c:pt>
                <c:pt idx="80">
                  <c:v>1.600000000000001</c:v>
                </c:pt>
                <c:pt idx="81">
                  <c:v>1.620000000000001</c:v>
                </c:pt>
                <c:pt idx="82">
                  <c:v>1.640000000000001</c:v>
                </c:pt>
                <c:pt idx="83">
                  <c:v>1.660000000000001</c:v>
                </c:pt>
                <c:pt idx="84">
                  <c:v>1.680000000000001</c:v>
                </c:pt>
                <c:pt idx="85">
                  <c:v>1.7000000000000011</c:v>
                </c:pt>
                <c:pt idx="86">
                  <c:v>1.7200000000000011</c:v>
                </c:pt>
                <c:pt idx="87">
                  <c:v>1.7400000000000011</c:v>
                </c:pt>
                <c:pt idx="88">
                  <c:v>1.7600000000000011</c:v>
                </c:pt>
                <c:pt idx="89">
                  <c:v>1.7800000000000011</c:v>
                </c:pt>
                <c:pt idx="90">
                  <c:v>1.8000000000000012</c:v>
                </c:pt>
                <c:pt idx="91">
                  <c:v>1.8200000000000012</c:v>
                </c:pt>
                <c:pt idx="92">
                  <c:v>1.8400000000000012</c:v>
                </c:pt>
                <c:pt idx="93">
                  <c:v>1.8600000000000012</c:v>
                </c:pt>
                <c:pt idx="94">
                  <c:v>1.8800000000000012</c:v>
                </c:pt>
                <c:pt idx="95">
                  <c:v>1.9000000000000012</c:v>
                </c:pt>
                <c:pt idx="96">
                  <c:v>1.9200000000000013</c:v>
                </c:pt>
                <c:pt idx="97">
                  <c:v>1.9400000000000013</c:v>
                </c:pt>
                <c:pt idx="98">
                  <c:v>1.9600000000000013</c:v>
                </c:pt>
                <c:pt idx="99">
                  <c:v>1.9800000000000013</c:v>
                </c:pt>
                <c:pt idx="100">
                  <c:v>2.0000000000000013</c:v>
                </c:pt>
                <c:pt idx="101" formatCode="0.00">
                  <c:v>2.02</c:v>
                </c:pt>
                <c:pt idx="102" formatCode="0.00">
                  <c:v>2.04</c:v>
                </c:pt>
                <c:pt idx="103" formatCode="0.00">
                  <c:v>2.06</c:v>
                </c:pt>
                <c:pt idx="104" formatCode="0.00">
                  <c:v>2.08</c:v>
                </c:pt>
                <c:pt idx="105" formatCode="0.00">
                  <c:v>2.1</c:v>
                </c:pt>
                <c:pt idx="106" formatCode="0.00">
                  <c:v>2.12</c:v>
                </c:pt>
                <c:pt idx="107" formatCode="0.00">
                  <c:v>2.14</c:v>
                </c:pt>
                <c:pt idx="108" formatCode="0.00">
                  <c:v>2.16</c:v>
                </c:pt>
                <c:pt idx="109" formatCode="0.00">
                  <c:v>2.1800000000000002</c:v>
                </c:pt>
                <c:pt idx="110" formatCode="0.00">
                  <c:v>2.2000000000000002</c:v>
                </c:pt>
                <c:pt idx="111" formatCode="0.00">
                  <c:v>2.2200000000000002</c:v>
                </c:pt>
                <c:pt idx="112" formatCode="0.00">
                  <c:v>2.2400000000000002</c:v>
                </c:pt>
                <c:pt idx="113" formatCode="0.00">
                  <c:v>2.2599999999999998</c:v>
                </c:pt>
                <c:pt idx="114" formatCode="0.00">
                  <c:v>2.2799999999999998</c:v>
                </c:pt>
                <c:pt idx="115" formatCode="0.00">
                  <c:v>2.2999999999999998</c:v>
                </c:pt>
                <c:pt idx="116" formatCode="0.00">
                  <c:v>2.3199999999999998</c:v>
                </c:pt>
                <c:pt idx="117" formatCode="0.00">
                  <c:v>2.34</c:v>
                </c:pt>
                <c:pt idx="118" formatCode="0.00">
                  <c:v>2.36</c:v>
                </c:pt>
                <c:pt idx="119" formatCode="0.00">
                  <c:v>2.38</c:v>
                </c:pt>
                <c:pt idx="120" formatCode="0.00">
                  <c:v>2.4</c:v>
                </c:pt>
                <c:pt idx="121" formatCode="0.00">
                  <c:v>2.42</c:v>
                </c:pt>
                <c:pt idx="122" formatCode="0.00">
                  <c:v>2.44</c:v>
                </c:pt>
                <c:pt idx="123" formatCode="0.00">
                  <c:v>2.46</c:v>
                </c:pt>
              </c:numCache>
            </c:numRef>
          </c:xVal>
          <c:yVal>
            <c:numRef>
              <c:f>Feuil1!$C$7:$C$130</c:f>
              <c:numCache>
                <c:formatCode>0.0000</c:formatCode>
                <c:ptCount val="124"/>
                <c:pt idx="0">
                  <c:v>0.17453292519943295</c:v>
                </c:pt>
                <c:pt idx="1">
                  <c:v>0.17384850578694314</c:v>
                </c:pt>
                <c:pt idx="2">
                  <c:v>0.17180061536109617</c:v>
                </c:pt>
                <c:pt idx="3">
                  <c:v>0.16840531525771732</c:v>
                </c:pt>
                <c:pt idx="4">
                  <c:v>0.16368923436988597</c:v>
                </c:pt>
                <c:pt idx="5">
                  <c:v>0.15768936030102212</c:v>
                </c:pt>
                <c:pt idx="6">
                  <c:v>0.15045274927596738</c:v>
                </c:pt>
                <c:pt idx="7">
                  <c:v>0.14203615708518966</c:v>
                </c:pt>
                <c:pt idx="8">
                  <c:v>0.13250559395656769</c:v>
                </c:pt>
                <c:pt idx="9">
                  <c:v>0.1219358068458376</c:v>
                </c:pt>
                <c:pt idx="10">
                  <c:v>0.11040969320602953</c:v>
                </c:pt>
                <c:pt idx="11">
                  <c:v>9.8017650833623834E-2</c:v>
                </c:pt>
                <c:pt idx="12">
                  <c:v>8.48568688904979E-2</c:v>
                </c:pt>
                <c:pt idx="13">
                  <c:v>7.1030565662085599E-2</c:v>
                </c:pt>
                <c:pt idx="14">
                  <c:v>5.6647179029911864E-2</c:v>
                </c:pt>
                <c:pt idx="15">
                  <c:v>4.1819516007520603E-2</c:v>
                </c:pt>
                <c:pt idx="16">
                  <c:v>2.6663868009873016E-2</c:v>
                </c:pt>
                <c:pt idx="17">
                  <c:v>1.1299098795043389E-2</c:v>
                </c:pt>
                <c:pt idx="18">
                  <c:v>-4.1542877686346702E-3</c:v>
                </c:pt>
                <c:pt idx="19">
                  <c:v>-1.9575092798591529E-2</c:v>
                </c:pt>
                <c:pt idx="20">
                  <c:v>-3.4842372944950212E-2</c:v>
                </c:pt>
                <c:pt idx="21">
                  <c:v>-4.9836388933345764E-2</c:v>
                </c:pt>
                <c:pt idx="22">
                  <c:v>-6.4439544664338308E-2</c:v>
                </c:pt>
                <c:pt idx="23">
                  <c:v>-7.8537309504186623E-2</c:v>
                </c:pt>
                <c:pt idx="24">
                  <c:v>-9.2019116533576306E-2</c:v>
                </c:pt>
                <c:pt idx="25">
                  <c:v>-0.10477922970945638</c:v>
                </c:pt>
                <c:pt idx="26">
                  <c:v>-0.116717573138947</c:v>
                </c:pt>
                <c:pt idx="27">
                  <c:v>-0.12774051596143213</c:v>
                </c:pt>
                <c:pt idx="28">
                  <c:v>-0.13776160668311094</c:v>
                </c:pt>
                <c:pt idx="29">
                  <c:v>-0.14670225120471631</c:v>
                </c:pt>
                <c:pt idx="30">
                  <c:v>-0.15449232922472059</c:v>
                </c:pt>
                <c:pt idx="31">
                  <c:v>-0.16107074418365661</c:v>
                </c:pt>
                <c:pt idx="32">
                  <c:v>-0.16638590243641521</c:v>
                </c:pt>
                <c:pt idx="33">
                  <c:v>-0.17039611789443185</c:v>
                </c:pt>
                <c:pt idx="34">
                  <c:v>-0.17306993896420811</c:v>
                </c:pt>
                <c:pt idx="35">
                  <c:v>-0.17438639521803137</c:v>
                </c:pt>
                <c:pt idx="36">
                  <c:v>-0.17433516186228717</c:v>
                </c:pt>
                <c:pt idx="37">
                  <c:v>-0.17291664071346022</c:v>
                </c:pt>
                <c:pt idx="38">
                  <c:v>-0.17014195704674059</c:v>
                </c:pt>
                <c:pt idx="39">
                  <c:v>-0.16603287234195052</c:v>
                </c:pt>
                <c:pt idx="40">
                  <c:v>-0.16062161361111438</c:v>
                </c:pt>
                <c:pt idx="41">
                  <c:v>-0.15395062064623305</c:v>
                </c:pt>
                <c:pt idx="42">
                  <c:v>-0.14607221316956565</c:v>
                </c:pt>
                <c:pt idx="43">
                  <c:v>-0.13704818049691456</c:v>
                </c:pt>
                <c:pt idx="44">
                  <c:v>-0.12694929693213167</c:v>
                </c:pt>
                <c:pt idx="45">
                  <c:v>-0.11585476669354199</c:v>
                </c:pt>
                <c:pt idx="46">
                  <c:v>-0.10385160272565533</c:v>
                </c:pt>
                <c:pt idx="47">
                  <c:v>-9.1033944268062619E-2</c:v>
                </c:pt>
                <c:pt idx="48">
                  <c:v>-7.7502318533735237E-2</c:v>
                </c:pt>
                <c:pt idx="49">
                  <c:v>-6.3362852287288454E-2</c:v>
                </c:pt>
                <c:pt idx="50">
                  <c:v>-4.8726439506695453E-2</c:v>
                </c:pt>
                <c:pt idx="51">
                  <c:v>-3.3707871656372207E-2</c:v>
                </c:pt>
                <c:pt idx="52">
                  <c:v>-1.8424937392789408E-2</c:v>
                </c:pt>
                <c:pt idx="53">
                  <c:v>-2.9974987634988149E-3</c:v>
                </c:pt>
                <c:pt idx="54">
                  <c:v>1.2453448855173523E-2</c:v>
                </c:pt>
                <c:pt idx="55">
                  <c:v>2.7806725708983855E-2</c:v>
                </c:pt>
                <c:pt idx="56">
                  <c:v>4.2941918062677525E-2</c:v>
                </c:pt>
                <c:pt idx="57">
                  <c:v>5.7740322589110979E-2</c:v>
                </c:pt>
                <c:pt idx="58">
                  <c:v>7.2085877343866483E-2</c:v>
                </c:pt>
                <c:pt idx="59">
                  <c:v>8.5866072023849688E-2</c:v>
                </c:pt>
                <c:pt idx="60">
                  <c:v>9.8972830370829032E-2</c:v>
                </c:pt>
                <c:pt idx="61">
                  <c:v>0.11130335779934467</c:v>
                </c:pt>
                <c:pt idx="62">
                  <c:v>0.12276094760115024</c:v>
                </c:pt>
                <c:pt idx="63">
                  <c:v>0.13325573940323332</c:v>
                </c:pt>
                <c:pt idx="64">
                  <c:v>0.14270542393092628</c:v>
                </c:pt>
                <c:pt idx="65">
                  <c:v>0.15103588854874486</c:v>
                </c:pt>
                <c:pt idx="66">
                  <c:v>0.15818179851606073</c:v>
                </c:pt>
                <c:pt idx="67">
                  <c:v>0.16408710939889742</c:v>
                </c:pt>
                <c:pt idx="68">
                  <c:v>0.16870550661906999</c:v>
                </c:pt>
                <c:pt idx="69">
                  <c:v>0.17200076869334294</c:v>
                </c:pt>
                <c:pt idx="70">
                  <c:v>0.17394705131376925</c:v>
                </c:pt>
                <c:pt idx="71">
                  <c:v>0.17452909004120554</c:v>
                </c:pt>
                <c:pt idx="72">
                  <c:v>0.1737423200223048</c:v>
                </c:pt>
                <c:pt idx="73">
                  <c:v>0.17159291179106212</c:v>
                </c:pt>
                <c:pt idx="74">
                  <c:v>0.16809772287412639</c:v>
                </c:pt>
                <c:pt idx="75">
                  <c:v>0.16328416557943132</c:v>
                </c:pt>
                <c:pt idx="76">
                  <c:v>0.15718999200506217</c:v>
                </c:pt>
                <c:pt idx="77">
                  <c:v>0.1498629979545055</c:v>
                </c:pt>
                <c:pt idx="78">
                  <c:v>0.14136064808043547</c:v>
                </c:pt>
                <c:pt idx="79">
                  <c:v>0.13174962519698527</c:v>
                </c:pt>
                <c:pt idx="80">
                  <c:v>0.12110530729518793</c:v>
                </c:pt>
                <c:pt idx="81">
                  <c:v>0.10951117636328561</c:v>
                </c:pt>
                <c:pt idx="82">
                  <c:v>9.7058163648453391E-2</c:v>
                </c:pt>
                <c:pt idx="83">
                  <c:v>8.384393649496201E-2</c:v>
                </c:pt>
                <c:pt idx="84">
                  <c:v>6.9972132352015701E-2</c:v>
                </c:pt>
                <c:pt idx="85">
                  <c:v>5.5551545958839918E-2</c:v>
                </c:pt>
                <c:pt idx="86">
                  <c:v>4.0695276081821691E-2</c:v>
                </c:pt>
                <c:pt idx="87">
                  <c:v>2.5519838495728461E-2</c:v>
                </c:pt>
                <c:pt idx="88">
                  <c:v>1.0144252165779487E-2</c:v>
                </c:pt>
                <c:pt idx="89">
                  <c:v>-5.3108942024778063E-3</c:v>
                </c:pt>
                <c:pt idx="90">
                  <c:v>-2.0724387924557285E-2</c:v>
                </c:pt>
                <c:pt idx="91">
                  <c:v>-3.5975342992209905E-2</c:v>
                </c:pt>
                <c:pt idx="92">
                  <c:v>-5.0944148166520632E-2</c:v>
                </c:pt>
                <c:pt idx="93">
                  <c:v>-6.5513405073155423E-2</c:v>
                </c:pt>
                <c:pt idx="94">
                  <c:v>-7.9568848942403222E-2</c:v>
                </c:pt>
                <c:pt idx="95">
                  <c:v>-9.3000244772767582E-2</c:v>
                </c:pt>
                <c:pt idx="96">
                  <c:v>-0.10570225188961492</c:v>
                </c:pt>
                <c:pt idx="97">
                  <c:v>-0.11757525011825995</c:v>
                </c:pt>
                <c:pt idx="98">
                  <c:v>-0.12852612109192049</c:v>
                </c:pt>
                <c:pt idx="99">
                  <c:v>-0.13846897856684631</c:v>
                </c:pt>
                <c:pt idx="100">
                  <c:v>-0.14732584201685703</c:v>
                </c:pt>
                <c:pt idx="101">
                  <c:v>-0.15502724822437253</c:v>
                </c:pt>
                <c:pt idx="102">
                  <c:v>-0.16151279607131389</c:v>
                </c:pt>
                <c:pt idx="103">
                  <c:v>-0.166731620257142</c:v>
                </c:pt>
                <c:pt idx="104">
                  <c:v>-0.17064279022873546</c:v>
                </c:pt>
                <c:pt idx="105">
                  <c:v>-0.17321563119334618</c:v>
                </c:pt>
                <c:pt idx="106">
                  <c:v>-0.17442996469697289</c:v>
                </c:pt>
                <c:pt idx="107">
                  <c:v>-0.17427626688132722</c:v>
                </c:pt>
                <c:pt idx="108">
                  <c:v>-0.17275574317820455</c:v>
                </c:pt>
                <c:pt idx="109">
                  <c:v>-0.16988031885544053</c:v>
                </c:pt>
                <c:pt idx="110">
                  <c:v>-0.1656725454886005</c:v>
                </c:pt>
                <c:pt idx="111">
                  <c:v>-0.16016542409193249</c:v>
                </c:pt>
                <c:pt idx="112">
                  <c:v>-0.15340214629574359</c:v>
                </c:pt>
                <c:pt idx="113">
                  <c:v>-0.14543575560011285</c:v>
                </c:pt>
                <c:pt idx="114">
                  <c:v>-0.13632873136168064</c:v>
                </c:pt>
                <c:pt idx="115">
                  <c:v>-0.12615249877625684</c:v>
                </c:pt>
                <c:pt idx="116">
                  <c:v>-0.11498686870038352</c:v>
                </c:pt>
                <c:pt idx="117">
                  <c:v>-0.10291941170526235</c:v>
                </c:pt>
                <c:pt idx="118">
                  <c:v>-9.0044771272258323E-2</c:v>
                </c:pt>
                <c:pt idx="119">
                  <c:v>-7.6463921516497391E-2</c:v>
                </c:pt>
                <c:pt idx="120">
                  <c:v>-6.228337526013418E-2</c:v>
                </c:pt>
                <c:pt idx="121">
                  <c:v>-4.7614348666268021E-2</c:v>
                </c:pt>
                <c:pt idx="122">
                  <c:v>-3.2571888985171597E-2</c:v>
                </c:pt>
                <c:pt idx="123">
                  <c:v>-1.7273972253808671E-2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5A-49C0-80C6-089AC06C55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7380816"/>
        <c:axId val="1697384656"/>
      </c:scatterChart>
      <c:valAx>
        <c:axId val="1697380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Temps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97384656"/>
        <c:crosses val="autoZero"/>
        <c:crossBetween val="midCat"/>
      </c:valAx>
      <c:valAx>
        <c:axId val="169738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Vitesse et angle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#,##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973808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1181100</xdr:colOff>
      <xdr:row>130</xdr:row>
      <xdr:rowOff>6350</xdr:rowOff>
    </xdr:from>
    <xdr:to>
      <xdr:col>7</xdr:col>
      <xdr:colOff>527049</xdr:colOff>
      <xdr:row>148</xdr:row>
      <xdr:rowOff>88900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79811E5-0658-4784-F9F6-1C24B46156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920750</xdr:colOff>
      <xdr:row>132</xdr:row>
      <xdr:rowOff>12700</xdr:rowOff>
    </xdr:from>
    <xdr:to>
      <xdr:col>4</xdr:col>
      <xdr:colOff>939800</xdr:colOff>
      <xdr:row>145</xdr:row>
      <xdr:rowOff>133350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75E0E980-2209-5225-7ABD-EED23880CF30}"/>
            </a:ext>
          </a:extLst>
        </xdr:cNvPr>
        <xdr:cNvCxnSpPr/>
      </xdr:nvCxnSpPr>
      <xdr:spPr>
        <a:xfrm flipH="1" flipV="1">
          <a:off x="6019800" y="24320500"/>
          <a:ext cx="19050" cy="25146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1149350</xdr:colOff>
      <xdr:row>131</xdr:row>
      <xdr:rowOff>171450</xdr:rowOff>
    </xdr:from>
    <xdr:to>
      <xdr:col>3</xdr:col>
      <xdr:colOff>1155700</xdr:colOff>
      <xdr:row>145</xdr:row>
      <xdr:rowOff>88900</xdr:rowOff>
    </xdr:to>
    <xdr:cxnSp macro="">
      <xdr:nvCxnSpPr>
        <xdr:cNvPr id="10" name="Connecteur droit 9">
          <a:extLst>
            <a:ext uri="{FF2B5EF4-FFF2-40B4-BE49-F238E27FC236}">
              <a16:creationId xmlns:a16="http://schemas.microsoft.com/office/drawing/2014/main" id="{E88FEFE3-925E-7778-831F-2C764A87B9D2}"/>
            </a:ext>
          </a:extLst>
        </xdr:cNvPr>
        <xdr:cNvCxnSpPr/>
      </xdr:nvCxnSpPr>
      <xdr:spPr>
        <a:xfrm flipH="1" flipV="1">
          <a:off x="4819650" y="24295100"/>
          <a:ext cx="6350" cy="249555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5F548-4EEA-4636-86C9-0CE9A599EC37}">
  <dimension ref="A1:J146"/>
  <sheetViews>
    <sheetView tabSelected="1" workbookViewId="0">
      <selection activeCell="D7" sqref="D7"/>
    </sheetView>
  </sheetViews>
  <sheetFormatPr baseColWidth="10" defaultRowHeight="14.5" x14ac:dyDescent="0.35"/>
  <cols>
    <col min="1" max="1" width="19.36328125" customWidth="1"/>
    <col min="2" max="2" width="13.81640625" customWidth="1"/>
    <col min="3" max="3" width="19.36328125" customWidth="1"/>
    <col min="4" max="4" width="20.453125" customWidth="1"/>
    <col min="5" max="6" width="21.1796875" customWidth="1"/>
    <col min="7" max="7" width="13.1796875" customWidth="1"/>
    <col min="8" max="8" width="22.7265625" customWidth="1"/>
  </cols>
  <sheetData>
    <row r="1" spans="1:10" x14ac:dyDescent="0.35">
      <c r="A1" s="3" t="s">
        <v>4</v>
      </c>
    </row>
    <row r="2" spans="1:10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7</v>
      </c>
      <c r="F2" s="15"/>
    </row>
    <row r="3" spans="1:10" x14ac:dyDescent="0.35">
      <c r="B3" s="7">
        <v>9.81</v>
      </c>
      <c r="C3" s="8">
        <v>0.5</v>
      </c>
      <c r="D3" s="6">
        <f>(B7*PI())/180</f>
        <v>0.17453292519943295</v>
      </c>
      <c r="E3" s="5">
        <f>SQRT(B3/C3)</f>
        <v>4.4294469180700204</v>
      </c>
      <c r="F3" s="16"/>
    </row>
    <row r="5" spans="1:10" x14ac:dyDescent="0.35">
      <c r="A5" s="9" t="s">
        <v>6</v>
      </c>
      <c r="B5" s="9" t="s">
        <v>5</v>
      </c>
      <c r="C5" s="14" t="s">
        <v>10</v>
      </c>
      <c r="D5" s="14" t="s">
        <v>9</v>
      </c>
      <c r="E5" s="14" t="s">
        <v>11</v>
      </c>
      <c r="F5" s="13"/>
      <c r="I5" s="4">
        <v>0</v>
      </c>
      <c r="J5" s="4">
        <v>10</v>
      </c>
    </row>
    <row r="6" spans="1:10" x14ac:dyDescent="0.35">
      <c r="A6" s="10" t="s">
        <v>8</v>
      </c>
      <c r="B6" s="10"/>
      <c r="C6" s="7"/>
      <c r="D6" s="7"/>
      <c r="E6" s="7"/>
      <c r="F6" s="7"/>
      <c r="I6" s="4">
        <v>0.02</v>
      </c>
      <c r="J6" s="4">
        <v>9.960785656247511</v>
      </c>
    </row>
    <row r="7" spans="1:10" x14ac:dyDescent="0.35">
      <c r="A7" s="7">
        <v>0</v>
      </c>
      <c r="B7" s="8">
        <v>10</v>
      </c>
      <c r="C7" s="11">
        <f t="shared" ref="C7:C38" si="0">$D$3*COS($E$3*A7)</f>
        <v>0.17453292519943295</v>
      </c>
      <c r="D7" s="11"/>
      <c r="E7" s="7"/>
      <c r="F7" s="7"/>
      <c r="I7" s="4">
        <v>0.04</v>
      </c>
      <c r="J7" s="4">
        <v>9.8434501779412305</v>
      </c>
    </row>
    <row r="8" spans="1:10" x14ac:dyDescent="0.35">
      <c r="A8" s="7">
        <f>A7+0.02</f>
        <v>0.02</v>
      </c>
      <c r="B8" s="8">
        <v>9.960785656247511</v>
      </c>
      <c r="C8" s="11">
        <f t="shared" si="0"/>
        <v>0.17384850578694314</v>
      </c>
      <c r="D8" s="11">
        <f t="shared" ref="D8:D39" si="1">(C9-C7)/(A9-A7)</f>
        <v>-6.830774595841943E-2</v>
      </c>
      <c r="E8" s="11">
        <f>$C$3*D8</f>
        <v>-3.4153872979209715E-2</v>
      </c>
      <c r="F8" s="12"/>
      <c r="I8" s="4">
        <v>0.06</v>
      </c>
      <c r="J8" s="4">
        <v>9.6489138118372892</v>
      </c>
    </row>
    <row r="9" spans="1:10" x14ac:dyDescent="0.35">
      <c r="A9" s="7">
        <f t="shared" ref="A9:A72" si="2">A8+0.02</f>
        <v>0.04</v>
      </c>
      <c r="B9" s="8">
        <v>9.8434501779412305</v>
      </c>
      <c r="C9" s="11">
        <f t="shared" si="0"/>
        <v>0.17180061536109617</v>
      </c>
      <c r="D9" s="11">
        <f t="shared" si="1"/>
        <v>-0.13607976323064544</v>
      </c>
      <c r="E9" s="11">
        <f t="shared" ref="E9:E72" si="3">$C$3*D9</f>
        <v>-6.803988161532272E-2</v>
      </c>
      <c r="F9" s="12"/>
      <c r="I9" s="4">
        <v>0.08</v>
      </c>
      <c r="J9" s="4">
        <v>9.3787022811222442</v>
      </c>
    </row>
    <row r="10" spans="1:10" x14ac:dyDescent="0.35">
      <c r="A10" s="7">
        <f t="shared" si="2"/>
        <v>0.06</v>
      </c>
      <c r="B10" s="8">
        <v>9.6489138118372892</v>
      </c>
      <c r="C10" s="11">
        <f t="shared" si="0"/>
        <v>0.16840531525771732</v>
      </c>
      <c r="D10" s="11">
        <f t="shared" si="1"/>
        <v>-0.20278452478025497</v>
      </c>
      <c r="E10" s="11">
        <f t="shared" si="3"/>
        <v>-0.10139226239012748</v>
      </c>
      <c r="F10" s="12"/>
      <c r="I10" s="4">
        <v>0.1</v>
      </c>
      <c r="J10" s="4">
        <v>9.0349348193663612</v>
      </c>
    </row>
    <row r="11" spans="1:10" x14ac:dyDescent="0.35">
      <c r="A11" s="7">
        <f t="shared" si="2"/>
        <v>0.08</v>
      </c>
      <c r="B11" s="8">
        <v>9.3787022811222442</v>
      </c>
      <c r="C11" s="11">
        <f t="shared" si="0"/>
        <v>0.16368923436988597</v>
      </c>
      <c r="D11" s="11">
        <f t="shared" si="1"/>
        <v>-0.26789887391737982</v>
      </c>
      <c r="E11" s="11">
        <f t="shared" si="3"/>
        <v>-0.13394943695868991</v>
      </c>
      <c r="F11" s="12"/>
      <c r="I11" s="4">
        <v>0.12</v>
      </c>
      <c r="J11" s="4">
        <v>8.6203075496528854</v>
      </c>
    </row>
    <row r="12" spans="1:10" x14ac:dyDescent="0.35">
      <c r="A12" s="7">
        <f t="shared" si="2"/>
        <v>0.1</v>
      </c>
      <c r="B12" s="8">
        <v>9.0349348193663612</v>
      </c>
      <c r="C12" s="11">
        <f t="shared" si="0"/>
        <v>0.15768936030102212</v>
      </c>
      <c r="D12" s="11">
        <f t="shared" si="1"/>
        <v>-0.3309121273479646</v>
      </c>
      <c r="E12" s="11">
        <f t="shared" si="3"/>
        <v>-0.1654560636739823</v>
      </c>
      <c r="F12" s="12"/>
      <c r="I12" s="4">
        <v>0.14000000000000001</v>
      </c>
      <c r="J12" s="4">
        <v>8.138072339238553</v>
      </c>
    </row>
    <row r="13" spans="1:10" x14ac:dyDescent="0.35">
      <c r="A13" s="7">
        <f t="shared" si="2"/>
        <v>0.12000000000000001</v>
      </c>
      <c r="B13" s="8">
        <v>8.6203075496528854</v>
      </c>
      <c r="C13" s="11">
        <f t="shared" si="0"/>
        <v>0.15045274927596738</v>
      </c>
      <c r="D13" s="11">
        <f t="shared" si="1"/>
        <v>-0.39133008039581163</v>
      </c>
      <c r="E13" s="11">
        <f t="shared" si="3"/>
        <v>-0.19566504019790582</v>
      </c>
      <c r="F13" s="12"/>
      <c r="I13" s="4">
        <v>0.16</v>
      </c>
      <c r="J13" s="4">
        <v>7.5920112955855164</v>
      </c>
    </row>
    <row r="14" spans="1:10" x14ac:dyDescent="0.35">
      <c r="A14" s="7">
        <f t="shared" si="2"/>
        <v>0.14000000000000001</v>
      </c>
      <c r="B14" s="8">
        <v>8.138072339238553</v>
      </c>
      <c r="C14" s="11">
        <f t="shared" si="0"/>
        <v>0.14203615708518966</v>
      </c>
      <c r="D14" s="11">
        <f t="shared" si="1"/>
        <v>-0.44867888298499242</v>
      </c>
      <c r="E14" s="11">
        <f t="shared" si="3"/>
        <v>-0.22433944149249621</v>
      </c>
      <c r="F14" s="12"/>
      <c r="I14" s="4">
        <v>0.18</v>
      </c>
      <c r="J14" s="4">
        <v>6.9864071037889053</v>
      </c>
    </row>
    <row r="15" spans="1:10" x14ac:dyDescent="0.35">
      <c r="A15" s="7">
        <f t="shared" si="2"/>
        <v>0.16</v>
      </c>
      <c r="B15" s="8">
        <v>7.5920112955855164</v>
      </c>
      <c r="C15" s="11">
        <f t="shared" si="0"/>
        <v>0.13250559395656769</v>
      </c>
      <c r="D15" s="11">
        <f t="shared" si="1"/>
        <v>-0.50250875598380162</v>
      </c>
      <c r="E15" s="11">
        <f t="shared" si="3"/>
        <v>-0.25125437799190081</v>
      </c>
      <c r="F15" s="12"/>
      <c r="I15" s="4">
        <v>0.2</v>
      </c>
      <c r="J15" s="4">
        <v>6.3260094380397307</v>
      </c>
    </row>
    <row r="16" spans="1:10" x14ac:dyDescent="0.35">
      <c r="A16" s="7">
        <f t="shared" si="2"/>
        <v>0.18</v>
      </c>
      <c r="B16" s="8">
        <v>6.9864071037889053</v>
      </c>
      <c r="C16" s="11">
        <f t="shared" si="0"/>
        <v>0.1219358068458376</v>
      </c>
      <c r="D16" s="11">
        <f t="shared" si="1"/>
        <v>-0.55239751876345433</v>
      </c>
      <c r="E16" s="11">
        <f t="shared" si="3"/>
        <v>-0.27619875938172717</v>
      </c>
      <c r="F16" s="12"/>
      <c r="I16" s="4">
        <v>0.22</v>
      </c>
      <c r="J16" s="4">
        <v>5.615997710553601</v>
      </c>
    </row>
    <row r="17" spans="1:10" x14ac:dyDescent="0.35">
      <c r="A17" s="7">
        <f t="shared" si="2"/>
        <v>0.19999999999999998</v>
      </c>
      <c r="B17" s="8">
        <v>6.3260094380397307</v>
      </c>
      <c r="C17" s="11">
        <f t="shared" si="0"/>
        <v>0.11040969320602953</v>
      </c>
      <c r="D17" s="11">
        <f t="shared" si="1"/>
        <v>-0.59795390030534445</v>
      </c>
      <c r="E17" s="11">
        <f t="shared" si="3"/>
        <v>-0.29897695015267223</v>
      </c>
      <c r="F17" s="12"/>
      <c r="I17" s="4">
        <v>0.24</v>
      </c>
      <c r="J17" s="4">
        <v>4.8619404501205024</v>
      </c>
    </row>
    <row r="18" spans="1:10" x14ac:dyDescent="0.35">
      <c r="A18" s="7">
        <f t="shared" si="2"/>
        <v>0.21999999999999997</v>
      </c>
      <c r="B18" s="8">
        <v>5.615997710553601</v>
      </c>
      <c r="C18" s="11">
        <f t="shared" si="0"/>
        <v>9.8017650833623834E-2</v>
      </c>
      <c r="D18" s="11">
        <f t="shared" si="1"/>
        <v>-0.63882060788829109</v>
      </c>
      <c r="E18" s="11">
        <f t="shared" si="3"/>
        <v>-0.31941030394414555</v>
      </c>
      <c r="F18" s="12"/>
      <c r="I18" s="4">
        <v>0.26</v>
      </c>
      <c r="J18" s="4">
        <v>4.0697516288643687</v>
      </c>
    </row>
    <row r="19" spans="1:10" x14ac:dyDescent="0.35">
      <c r="A19" s="7">
        <f t="shared" si="2"/>
        <v>0.23999999999999996</v>
      </c>
      <c r="B19" s="8">
        <v>4.8619404501205024</v>
      </c>
      <c r="C19" s="11">
        <f t="shared" si="0"/>
        <v>8.48568688904979E-2</v>
      </c>
      <c r="D19" s="11">
        <f t="shared" si="1"/>
        <v>-0.67467712928845625</v>
      </c>
      <c r="E19" s="11">
        <f t="shared" si="3"/>
        <v>-0.33733856464422812</v>
      </c>
      <c r="F19" s="12"/>
      <c r="I19" s="4">
        <v>0.28000000000000003</v>
      </c>
      <c r="J19" s="4">
        <v>3.2456442797359291</v>
      </c>
    </row>
    <row r="20" spans="1:10" x14ac:dyDescent="0.35">
      <c r="A20" s="7">
        <f t="shared" si="2"/>
        <v>0.25999999999999995</v>
      </c>
      <c r="B20" s="8">
        <v>4.0697516288643687</v>
      </c>
      <c r="C20" s="11">
        <f t="shared" si="0"/>
        <v>7.1030565662085599E-2</v>
      </c>
      <c r="D20" s="11">
        <f t="shared" si="1"/>
        <v>-0.70524224651465073</v>
      </c>
      <c r="E20" s="11">
        <f t="shared" si="3"/>
        <v>-0.35262112325732536</v>
      </c>
      <c r="F20" s="12"/>
      <c r="I20" s="4">
        <v>0.3</v>
      </c>
      <c r="J20" s="4">
        <v>2.396081768510717</v>
      </c>
    </row>
    <row r="21" spans="1:10" x14ac:dyDescent="0.35">
      <c r="A21" s="7">
        <f t="shared" si="2"/>
        <v>0.27999999999999997</v>
      </c>
      <c r="B21" s="8">
        <v>3.2456442797359291</v>
      </c>
      <c r="C21" s="11">
        <f t="shared" si="0"/>
        <v>5.6647179029911864E-2</v>
      </c>
      <c r="D21" s="11">
        <f t="shared" si="1"/>
        <v>-0.73027624136412428</v>
      </c>
      <c r="E21" s="11">
        <f t="shared" si="3"/>
        <v>-0.36513812068206214</v>
      </c>
      <c r="F21" s="12"/>
      <c r="I21" s="4">
        <v>0.32</v>
      </c>
      <c r="J21" s="4">
        <v>1.527727102459614</v>
      </c>
    </row>
    <row r="22" spans="1:10" x14ac:dyDescent="0.35">
      <c r="A22" s="7">
        <f t="shared" si="2"/>
        <v>0.3</v>
      </c>
      <c r="B22" s="8">
        <v>2.396081768510717</v>
      </c>
      <c r="C22" s="11">
        <f t="shared" si="0"/>
        <v>4.1819516007520603E-2</v>
      </c>
      <c r="D22" s="11">
        <f t="shared" si="1"/>
        <v>-0.74958277550097052</v>
      </c>
      <c r="E22" s="11">
        <f t="shared" si="3"/>
        <v>-0.37479138775048526</v>
      </c>
      <c r="F22" s="12"/>
      <c r="I22" s="4">
        <v>0.34</v>
      </c>
      <c r="J22" s="4">
        <v>0.64739067325734023</v>
      </c>
    </row>
    <row r="23" spans="1:10" x14ac:dyDescent="0.35">
      <c r="A23" s="7">
        <f t="shared" si="2"/>
        <v>0.32</v>
      </c>
      <c r="B23" s="8">
        <v>1.527727102459614</v>
      </c>
      <c r="C23" s="11">
        <f t="shared" si="0"/>
        <v>2.6663868009873016E-2</v>
      </c>
      <c r="D23" s="11">
        <f t="shared" si="1"/>
        <v>-0.76301043031192972</v>
      </c>
      <c r="E23" s="11">
        <f t="shared" si="3"/>
        <v>-0.38150521515596486</v>
      </c>
      <c r="F23" s="12"/>
      <c r="I23" s="4">
        <v>0.36</v>
      </c>
      <c r="J23" s="4">
        <v>-0.2380231560255846</v>
      </c>
    </row>
    <row r="24" spans="1:10" x14ac:dyDescent="0.35">
      <c r="A24" s="7">
        <f t="shared" si="2"/>
        <v>0.34</v>
      </c>
      <c r="B24" s="8">
        <v>0.64739067325734023</v>
      </c>
      <c r="C24" s="11">
        <f t="shared" si="0"/>
        <v>1.1299098795043389E-2</v>
      </c>
      <c r="D24" s="11">
        <f t="shared" si="1"/>
        <v>-0.77045389446269141</v>
      </c>
      <c r="E24" s="11">
        <f t="shared" si="3"/>
        <v>-0.38522694723134571</v>
      </c>
      <c r="F24" s="12"/>
      <c r="I24" s="4">
        <v>0.38</v>
      </c>
      <c r="J24" s="4">
        <v>-1.1215702009362241</v>
      </c>
    </row>
    <row r="25" spans="1:10" x14ac:dyDescent="0.35">
      <c r="A25" s="7">
        <f t="shared" si="2"/>
        <v>0.36000000000000004</v>
      </c>
      <c r="B25" s="8">
        <v>-0.2380231560255846</v>
      </c>
      <c r="C25" s="11">
        <f t="shared" si="0"/>
        <v>-4.1542877686346702E-3</v>
      </c>
      <c r="D25" s="11">
        <f t="shared" si="1"/>
        <v>-0.7718547898408723</v>
      </c>
      <c r="E25" s="11">
        <f t="shared" si="3"/>
        <v>-0.38592739492043615</v>
      </c>
      <c r="F25" s="12"/>
      <c r="I25" s="4">
        <v>0.4</v>
      </c>
      <c r="J25" s="4">
        <v>-1.9963209179664501</v>
      </c>
    </row>
    <row r="26" spans="1:10" x14ac:dyDescent="0.35">
      <c r="A26" s="7">
        <f t="shared" si="2"/>
        <v>0.38000000000000006</v>
      </c>
      <c r="B26" s="8">
        <v>-1.1215702009362241</v>
      </c>
      <c r="C26" s="11">
        <f t="shared" si="0"/>
        <v>-1.9575092798591529E-2</v>
      </c>
      <c r="D26" s="11">
        <f t="shared" si="1"/>
        <v>-0.7672021294078879</v>
      </c>
      <c r="E26" s="11">
        <f t="shared" si="3"/>
        <v>-0.38360106470394395</v>
      </c>
      <c r="F26" s="12"/>
      <c r="I26" s="4">
        <v>0.42</v>
      </c>
      <c r="J26" s="4">
        <v>-2.8554147520531901</v>
      </c>
    </row>
    <row r="27" spans="1:10" x14ac:dyDescent="0.35">
      <c r="A27" s="7">
        <f t="shared" si="2"/>
        <v>0.40000000000000008</v>
      </c>
      <c r="B27" s="8">
        <v>-1.9963209179664501</v>
      </c>
      <c r="C27" s="11">
        <f t="shared" si="0"/>
        <v>-3.4842372944950212E-2</v>
      </c>
      <c r="D27" s="11">
        <f t="shared" si="1"/>
        <v>-0.75653240336885519</v>
      </c>
      <c r="E27" s="11">
        <f t="shared" si="3"/>
        <v>-0.37826620168442759</v>
      </c>
      <c r="F27" s="12"/>
      <c r="I27" s="4">
        <v>0.44</v>
      </c>
      <c r="J27" s="4">
        <v>-3.6921139430113432</v>
      </c>
    </row>
    <row r="28" spans="1:10" x14ac:dyDescent="0.35">
      <c r="A28" s="7">
        <f t="shared" si="2"/>
        <v>0.4200000000000001</v>
      </c>
      <c r="B28" s="8">
        <v>-2.8554147520531901</v>
      </c>
      <c r="C28" s="11">
        <f t="shared" si="0"/>
        <v>-4.9836388933345764E-2</v>
      </c>
      <c r="D28" s="11">
        <f t="shared" si="1"/>
        <v>-0.73992929298470178</v>
      </c>
      <c r="E28" s="11">
        <f t="shared" si="3"/>
        <v>-0.36996464649235089</v>
      </c>
      <c r="F28" s="12"/>
      <c r="I28" s="4">
        <v>0.46</v>
      </c>
      <c r="J28" s="4">
        <v>-4.4998563689025737</v>
      </c>
    </row>
    <row r="29" spans="1:10" x14ac:dyDescent="0.35">
      <c r="A29" s="7">
        <f t="shared" si="2"/>
        <v>0.44000000000000011</v>
      </c>
      <c r="B29" s="8">
        <v>-3.6921139430113432</v>
      </c>
      <c r="C29" s="11">
        <f t="shared" si="0"/>
        <v>-6.4439544664338308E-2</v>
      </c>
      <c r="D29" s="11">
        <f t="shared" si="1"/>
        <v>-0.71752301427102083</v>
      </c>
      <c r="E29" s="11">
        <f t="shared" si="3"/>
        <v>-0.35876150713551042</v>
      </c>
      <c r="F29" s="12"/>
      <c r="I29" s="4">
        <v>0.48</v>
      </c>
      <c r="J29" s="4">
        <v>-5.2723070118964088</v>
      </c>
    </row>
    <row r="30" spans="1:10" x14ac:dyDescent="0.35">
      <c r="A30" s="7">
        <f t="shared" si="2"/>
        <v>0.46000000000000013</v>
      </c>
      <c r="B30" s="8">
        <v>-4.4998563689025737</v>
      </c>
      <c r="C30" s="11">
        <f t="shared" si="0"/>
        <v>-7.8537309504186623E-2</v>
      </c>
      <c r="D30" s="11">
        <f t="shared" si="1"/>
        <v>-0.68948929673094939</v>
      </c>
      <c r="E30" s="11">
        <f t="shared" si="3"/>
        <v>-0.34474464836547469</v>
      </c>
      <c r="F30" s="12"/>
      <c r="I30" s="4">
        <v>0.5</v>
      </c>
      <c r="J30" s="4">
        <v>-6.003407642983615</v>
      </c>
    </row>
    <row r="31" spans="1:10" x14ac:dyDescent="0.35">
      <c r="A31" s="7">
        <f t="shared" si="2"/>
        <v>0.48000000000000015</v>
      </c>
      <c r="B31" s="8">
        <v>-5.2723070118964088</v>
      </c>
      <c r="C31" s="11">
        <f t="shared" si="0"/>
        <v>-9.2019116533576306E-2</v>
      </c>
      <c r="D31" s="11">
        <f t="shared" si="1"/>
        <v>-0.65604800513174433</v>
      </c>
      <c r="E31" s="11">
        <f t="shared" si="3"/>
        <v>-0.32802400256587216</v>
      </c>
      <c r="F31" s="12"/>
      <c r="I31" s="4">
        <v>0.52</v>
      </c>
      <c r="J31" s="4">
        <v>-6.6874243358711638</v>
      </c>
    </row>
    <row r="32" spans="1:10" x14ac:dyDescent="0.35">
      <c r="A32" s="7">
        <f t="shared" si="2"/>
        <v>0.50000000000000011</v>
      </c>
      <c r="B32" s="8">
        <v>-6.003407642983615</v>
      </c>
      <c r="C32" s="11">
        <f t="shared" si="0"/>
        <v>-0.10477922970945638</v>
      </c>
      <c r="D32" s="11">
        <f t="shared" si="1"/>
        <v>-0.61746141513426755</v>
      </c>
      <c r="E32" s="11">
        <f t="shared" si="3"/>
        <v>-0.30873070756713378</v>
      </c>
      <c r="F32" s="12"/>
      <c r="I32" s="4">
        <v>0.54</v>
      </c>
      <c r="J32" s="4">
        <v>-7.3189924374135868</v>
      </c>
    </row>
    <row r="33" spans="1:10" x14ac:dyDescent="0.35">
      <c r="A33" s="7">
        <f t="shared" si="2"/>
        <v>0.52000000000000013</v>
      </c>
      <c r="B33" s="8">
        <v>-6.6874243358711638</v>
      </c>
      <c r="C33" s="11">
        <f t="shared" si="0"/>
        <v>-0.116717573138947</v>
      </c>
      <c r="D33" s="11">
        <f t="shared" si="1"/>
        <v>-0.57403215629939308</v>
      </c>
      <c r="E33" s="11">
        <f t="shared" si="3"/>
        <v>-0.28701607814969654</v>
      </c>
      <c r="F33" s="12"/>
      <c r="I33" s="4">
        <v>0.56000000000000005</v>
      </c>
      <c r="J33" s="4">
        <v>-7.8931586418834891</v>
      </c>
    </row>
    <row r="34" spans="1:10" x14ac:dyDescent="0.35">
      <c r="A34" s="7">
        <f t="shared" si="2"/>
        <v>0.54000000000000015</v>
      </c>
      <c r="B34" s="8">
        <v>-7.3189924374135868</v>
      </c>
      <c r="C34" s="11">
        <f t="shared" si="0"/>
        <v>-0.12774051596143213</v>
      </c>
      <c r="D34" s="11">
        <f t="shared" si="1"/>
        <v>-0.52610083860409806</v>
      </c>
      <c r="E34" s="11">
        <f t="shared" si="3"/>
        <v>-0.26305041930204903</v>
      </c>
      <c r="F34" s="12"/>
      <c r="I34" s="4">
        <v>0.57999999999999996</v>
      </c>
      <c r="J34" s="4">
        <v>-8.4054198390982364</v>
      </c>
    </row>
    <row r="35" spans="1:10" x14ac:dyDescent="0.35">
      <c r="A35" s="7">
        <f t="shared" si="2"/>
        <v>0.56000000000000016</v>
      </c>
      <c r="B35" s="8">
        <v>-7.8931586418834891</v>
      </c>
      <c r="C35" s="11">
        <f t="shared" si="0"/>
        <v>-0.13776160668311094</v>
      </c>
      <c r="D35" s="11">
        <f t="shared" si="1"/>
        <v>-0.47404338108210403</v>
      </c>
      <c r="E35" s="11">
        <f t="shared" si="3"/>
        <v>-0.23702169054105202</v>
      </c>
      <c r="F35" s="12"/>
      <c r="I35" s="4">
        <v>0.6</v>
      </c>
      <c r="J35" s="4">
        <v>-8.8517584317221107</v>
      </c>
    </row>
    <row r="36" spans="1:10" x14ac:dyDescent="0.35">
      <c r="A36" s="7">
        <f t="shared" si="2"/>
        <v>0.58000000000000018</v>
      </c>
      <c r="B36" s="8">
        <v>-8.4054198390982364</v>
      </c>
      <c r="C36" s="11">
        <f t="shared" si="0"/>
        <v>-0.14670225120471631</v>
      </c>
      <c r="D36" s="11">
        <f t="shared" si="1"/>
        <v>-0.41826806354024088</v>
      </c>
      <c r="E36" s="11">
        <f t="shared" si="3"/>
        <v>-0.20913403177012044</v>
      </c>
      <c r="F36" s="12"/>
      <c r="I36" s="4">
        <v>0.62</v>
      </c>
      <c r="J36" s="4">
        <v>-9.2286738447548728</v>
      </c>
    </row>
    <row r="37" spans="1:10" x14ac:dyDescent="0.35">
      <c r="A37" s="7">
        <f t="shared" si="2"/>
        <v>0.6000000000000002</v>
      </c>
      <c r="B37" s="8">
        <v>-8.8517584317221107</v>
      </c>
      <c r="C37" s="11">
        <f t="shared" si="0"/>
        <v>-0.15449232922472059</v>
      </c>
      <c r="D37" s="11">
        <f t="shared" si="1"/>
        <v>-0.35921232447350721</v>
      </c>
      <c r="E37" s="11">
        <f t="shared" si="3"/>
        <v>-0.1796061622367536</v>
      </c>
      <c r="F37" s="12"/>
      <c r="I37" s="4">
        <v>0.64</v>
      </c>
      <c r="J37" s="4">
        <v>-9.5332099800820718</v>
      </c>
    </row>
    <row r="38" spans="1:10" x14ac:dyDescent="0.35">
      <c r="A38" s="7">
        <f t="shared" si="2"/>
        <v>0.62000000000000022</v>
      </c>
      <c r="B38" s="8">
        <v>-9.2286738447548728</v>
      </c>
      <c r="C38" s="11">
        <f t="shared" si="0"/>
        <v>-0.16107074418365661</v>
      </c>
      <c r="D38" s="11">
        <f t="shared" si="1"/>
        <v>-0.29733933029236537</v>
      </c>
      <c r="E38" s="11">
        <f t="shared" si="3"/>
        <v>-0.14866966514618268</v>
      </c>
      <c r="F38" s="12"/>
      <c r="I38" s="4">
        <v>0.66</v>
      </c>
      <c r="J38" s="4">
        <v>-9.7629784007645473</v>
      </c>
    </row>
    <row r="39" spans="1:10" x14ac:dyDescent="0.35">
      <c r="A39" s="7">
        <f t="shared" si="2"/>
        <v>0.64000000000000024</v>
      </c>
      <c r="B39" s="8">
        <v>-9.5332099800820718</v>
      </c>
      <c r="C39" s="11">
        <f t="shared" ref="C39:C70" si="4">$D$3*COS($E$3*A39)</f>
        <v>-0.16638590243641521</v>
      </c>
      <c r="D39" s="11">
        <f t="shared" si="1"/>
        <v>-0.23313434276938086</v>
      </c>
      <c r="E39" s="11">
        <f t="shared" si="3"/>
        <v>-0.11656717138469043</v>
      </c>
      <c r="F39" s="12"/>
      <c r="I39" s="4">
        <v>0.68</v>
      </c>
      <c r="J39" s="4">
        <v>-9.9161770632358817</v>
      </c>
    </row>
    <row r="40" spans="1:10" x14ac:dyDescent="0.35">
      <c r="A40" s="7">
        <f t="shared" si="2"/>
        <v>0.66000000000000025</v>
      </c>
      <c r="B40" s="8">
        <v>-9.7629784007645473</v>
      </c>
      <c r="C40" s="11">
        <f t="shared" si="4"/>
        <v>-0.17039611789443185</v>
      </c>
      <c r="D40" s="11">
        <f t="shared" ref="D40:D71" si="5">(C41-C39)/(A41-A39)</f>
        <v>-0.16710091319482229</v>
      </c>
      <c r="E40" s="11">
        <f t="shared" si="3"/>
        <v>-8.3550456597411144E-2</v>
      </c>
      <c r="F40" s="12"/>
      <c r="I40" s="4">
        <v>0.70000000000000007</v>
      </c>
      <c r="J40" s="4">
        <v>-9.9916044504935595</v>
      </c>
    </row>
    <row r="41" spans="1:10" x14ac:dyDescent="0.35">
      <c r="A41" s="7">
        <f t="shared" si="2"/>
        <v>0.68000000000000027</v>
      </c>
      <c r="B41" s="8">
        <v>-9.9161770632358817</v>
      </c>
      <c r="C41" s="11">
        <f t="shared" si="4"/>
        <v>-0.17306993896420811</v>
      </c>
      <c r="D41" s="11">
        <f t="shared" si="5"/>
        <v>-9.9756933089987981E-2</v>
      </c>
      <c r="E41" s="11">
        <f t="shared" si="3"/>
        <v>-4.9878466544993991E-2</v>
      </c>
      <c r="F41" s="12"/>
      <c r="I41" s="4">
        <v>0.72</v>
      </c>
      <c r="J41" s="4">
        <v>-9.9886689954391237</v>
      </c>
    </row>
    <row r="42" spans="1:10" x14ac:dyDescent="0.35">
      <c r="A42" s="7">
        <f t="shared" si="2"/>
        <v>0.70000000000000029</v>
      </c>
      <c r="B42" s="8">
        <v>-9.9916044504935595</v>
      </c>
      <c r="C42" s="11">
        <f t="shared" si="4"/>
        <v>-0.17438639521803137</v>
      </c>
      <c r="D42" s="11">
        <f t="shared" si="5"/>
        <v>-3.1630572451976618E-2</v>
      </c>
      <c r="E42" s="11">
        <f t="shared" si="3"/>
        <v>-1.5815286225988309E-2</v>
      </c>
      <c r="F42" s="12"/>
      <c r="I42" s="4">
        <v>0.74</v>
      </c>
      <c r="J42" s="4">
        <v>-9.9073937204612914</v>
      </c>
    </row>
    <row r="43" spans="1:10" x14ac:dyDescent="0.35">
      <c r="A43" s="7">
        <f t="shared" si="2"/>
        <v>0.72000000000000031</v>
      </c>
      <c r="B43" s="8">
        <v>-9.9886689954391237</v>
      </c>
      <c r="C43" s="11">
        <f t="shared" si="4"/>
        <v>-0.17433516186228717</v>
      </c>
      <c r="D43" s="11">
        <f t="shared" si="5"/>
        <v>3.6743862614278776E-2</v>
      </c>
      <c r="E43" s="11">
        <f t="shared" si="3"/>
        <v>1.8371931307139388E-2</v>
      </c>
      <c r="F43" s="12"/>
      <c r="I43" s="4">
        <v>0.76</v>
      </c>
      <c r="J43" s="4">
        <v>-9.7484160568743761</v>
      </c>
    </row>
    <row r="44" spans="1:10" x14ac:dyDescent="0.35">
      <c r="A44" s="7">
        <f t="shared" si="2"/>
        <v>0.74000000000000032</v>
      </c>
      <c r="B44" s="8">
        <v>-9.9073937204612914</v>
      </c>
      <c r="C44" s="11">
        <f t="shared" si="4"/>
        <v>-0.17291664071346022</v>
      </c>
      <c r="D44" s="11">
        <f t="shared" si="5"/>
        <v>0.10483012038866442</v>
      </c>
      <c r="E44" s="11">
        <f t="shared" si="3"/>
        <v>5.2415060194332209E-2</v>
      </c>
      <c r="F44" s="12"/>
      <c r="I44" s="4">
        <v>0.78</v>
      </c>
      <c r="J44" s="4">
        <v>-9.512982845628148</v>
      </c>
    </row>
    <row r="45" spans="1:10" x14ac:dyDescent="0.35">
      <c r="A45" s="7">
        <f t="shared" si="2"/>
        <v>0.76000000000000034</v>
      </c>
      <c r="B45" s="8">
        <v>-9.7484160568743761</v>
      </c>
      <c r="C45" s="11">
        <f t="shared" si="4"/>
        <v>-0.17014195704674059</v>
      </c>
      <c r="D45" s="11">
        <f t="shared" si="5"/>
        <v>0.17209420928774224</v>
      </c>
      <c r="E45" s="11">
        <f t="shared" si="3"/>
        <v>8.6047104643871122E-2</v>
      </c>
      <c r="F45" s="12"/>
      <c r="I45" s="4">
        <v>0.8</v>
      </c>
      <c r="J45" s="4">
        <v>-9.2029405584979163</v>
      </c>
    </row>
    <row r="46" spans="1:10" x14ac:dyDescent="0.35">
      <c r="A46" s="7">
        <f t="shared" si="2"/>
        <v>0.78000000000000036</v>
      </c>
      <c r="B46" s="8">
        <v>-9.512982845628148</v>
      </c>
      <c r="C46" s="11">
        <f t="shared" si="4"/>
        <v>-0.16603287234195052</v>
      </c>
      <c r="D46" s="11">
        <f t="shared" si="5"/>
        <v>0.23800858589065518</v>
      </c>
      <c r="E46" s="11">
        <f t="shared" si="3"/>
        <v>0.11900429294532759</v>
      </c>
      <c r="F46" s="12"/>
      <c r="I46" s="4">
        <v>0.82000000000000006</v>
      </c>
      <c r="J46" s="4">
        <v>-8.8207208164487572</v>
      </c>
    </row>
    <row r="47" spans="1:10" x14ac:dyDescent="0.35">
      <c r="A47" s="7">
        <f t="shared" si="2"/>
        <v>0.80000000000000038</v>
      </c>
      <c r="B47" s="8">
        <v>-9.2029405584979163</v>
      </c>
      <c r="C47" s="11">
        <f t="shared" si="4"/>
        <v>-0.16062161361111438</v>
      </c>
      <c r="D47" s="11">
        <f t="shared" si="5"/>
        <v>0.30205629239293652</v>
      </c>
      <c r="E47" s="11">
        <f t="shared" si="3"/>
        <v>0.15102814619646826</v>
      </c>
      <c r="F47" s="12"/>
      <c r="I47" s="4">
        <v>0.84</v>
      </c>
      <c r="J47" s="4">
        <v>-8.3693213187514051</v>
      </c>
    </row>
    <row r="48" spans="1:10" x14ac:dyDescent="0.35">
      <c r="A48" s="7">
        <f t="shared" si="2"/>
        <v>0.8200000000000004</v>
      </c>
      <c r="B48" s="8">
        <v>-8.8207208164487572</v>
      </c>
      <c r="C48" s="11">
        <f t="shared" si="4"/>
        <v>-0.15395062064623305</v>
      </c>
      <c r="D48" s="11">
        <f t="shared" si="5"/>
        <v>0.36373501103871797</v>
      </c>
      <c r="E48" s="11">
        <f t="shared" si="3"/>
        <v>0.18186750551935899</v>
      </c>
      <c r="F48" s="12"/>
      <c r="I48" s="4">
        <v>0.86</v>
      </c>
      <c r="J48" s="4">
        <v>-7.8522823324203399</v>
      </c>
    </row>
    <row r="49" spans="1:10" x14ac:dyDescent="0.35">
      <c r="A49" s="7">
        <f t="shared" si="2"/>
        <v>0.84000000000000041</v>
      </c>
      <c r="B49" s="8">
        <v>-8.3693213187514051</v>
      </c>
      <c r="C49" s="11">
        <f t="shared" si="4"/>
        <v>-0.14607221316956565</v>
      </c>
      <c r="D49" s="11">
        <f t="shared" si="5"/>
        <v>0.42256100373296196</v>
      </c>
      <c r="E49" s="11">
        <f t="shared" si="3"/>
        <v>0.21128050186648098</v>
      </c>
      <c r="F49" s="12"/>
      <c r="I49" s="4">
        <v>0.88</v>
      </c>
      <c r="J49" s="4">
        <v>-7.273658926364245</v>
      </c>
    </row>
    <row r="50" spans="1:10" x14ac:dyDescent="0.35">
      <c r="A50" s="7">
        <f t="shared" si="2"/>
        <v>0.86000000000000043</v>
      </c>
      <c r="B50" s="8">
        <v>-7.8522823324203399</v>
      </c>
      <c r="C50" s="11">
        <f t="shared" si="4"/>
        <v>-0.13704818049691456</v>
      </c>
      <c r="D50" s="11">
        <f t="shared" si="5"/>
        <v>0.47807290593584906</v>
      </c>
      <c r="E50" s="11">
        <f t="shared" si="3"/>
        <v>0.23903645296792453</v>
      </c>
      <c r="F50" s="12"/>
      <c r="I50" s="4">
        <v>0.9</v>
      </c>
      <c r="J50" s="4">
        <v>-6.6379891680127923</v>
      </c>
    </row>
    <row r="51" spans="1:10" x14ac:dyDescent="0.35">
      <c r="A51" s="7">
        <f t="shared" si="2"/>
        <v>0.88000000000000045</v>
      </c>
      <c r="B51" s="8">
        <v>-7.273658926364245</v>
      </c>
      <c r="C51" s="11">
        <f t="shared" si="4"/>
        <v>-0.12694929693213167</v>
      </c>
      <c r="D51" s="11">
        <f t="shared" si="5"/>
        <v>0.52983534508431385</v>
      </c>
      <c r="E51" s="11">
        <f t="shared" si="3"/>
        <v>0.26491767254215692</v>
      </c>
      <c r="F51" s="12"/>
      <c r="I51" s="4">
        <v>0.92</v>
      </c>
      <c r="J51" s="4">
        <v>-5.9502585318493884</v>
      </c>
    </row>
    <row r="52" spans="1:10" x14ac:dyDescent="0.35">
      <c r="A52" s="7">
        <f t="shared" si="2"/>
        <v>0.90000000000000047</v>
      </c>
      <c r="B52" s="8">
        <v>-6.6379891680127923</v>
      </c>
      <c r="C52" s="11">
        <f t="shared" si="4"/>
        <v>-0.11585476669354199</v>
      </c>
      <c r="D52" s="11">
        <f t="shared" si="5"/>
        <v>0.57744235516190789</v>
      </c>
      <c r="E52" s="11">
        <f t="shared" si="3"/>
        <v>0.28872117758095395</v>
      </c>
      <c r="F52" s="12"/>
      <c r="I52" s="4">
        <v>0.94000000000000006</v>
      </c>
      <c r="J52" s="4">
        <v>-5.2158607989891559</v>
      </c>
    </row>
    <row r="53" spans="1:10" x14ac:dyDescent="0.35">
      <c r="A53" s="7">
        <f t="shared" si="2"/>
        <v>0.92000000000000048</v>
      </c>
      <c r="B53" s="8">
        <v>-5.9502585318493884</v>
      </c>
      <c r="C53" s="11">
        <f t="shared" si="4"/>
        <v>-0.10385160272565533</v>
      </c>
      <c r="D53" s="11">
        <f t="shared" si="5"/>
        <v>0.62052056063698358</v>
      </c>
      <c r="E53" s="11">
        <f t="shared" si="3"/>
        <v>0.31026028031849179</v>
      </c>
      <c r="F53" s="12"/>
      <c r="I53" s="4">
        <v>0.96</v>
      </c>
      <c r="J53" s="4">
        <v>-4.4405557544615917</v>
      </c>
    </row>
    <row r="54" spans="1:10" x14ac:dyDescent="0.35">
      <c r="A54" s="7">
        <f t="shared" si="2"/>
        <v>0.9400000000000005</v>
      </c>
      <c r="B54" s="8">
        <v>-5.2158607989891559</v>
      </c>
      <c r="C54" s="11">
        <f t="shared" si="4"/>
        <v>-9.1033944268062619E-2</v>
      </c>
      <c r="D54" s="11">
        <f t="shared" si="5"/>
        <v>0.65873210479800171</v>
      </c>
      <c r="E54" s="11">
        <f t="shared" si="3"/>
        <v>0.32936605239900085</v>
      </c>
      <c r="F54" s="12"/>
      <c r="I54" s="4">
        <v>0.98</v>
      </c>
      <c r="J54" s="4">
        <v>-3.630424013972509</v>
      </c>
    </row>
    <row r="55" spans="1:10" x14ac:dyDescent="0.35">
      <c r="A55" s="7">
        <f t="shared" si="2"/>
        <v>0.96000000000000052</v>
      </c>
      <c r="B55" s="8">
        <v>-4.4405557544615917</v>
      </c>
      <c r="C55" s="11">
        <f t="shared" si="4"/>
        <v>-7.7502318533735237E-2</v>
      </c>
      <c r="D55" s="11">
        <f t="shared" si="5"/>
        <v>0.69177729951935352</v>
      </c>
      <c r="E55" s="11">
        <f t="shared" si="3"/>
        <v>0.34588864975967676</v>
      </c>
      <c r="F55" s="12"/>
      <c r="I55" s="4">
        <v>1</v>
      </c>
      <c r="J55" s="4">
        <v>-2.7918193344331841</v>
      </c>
    </row>
    <row r="56" spans="1:10" x14ac:dyDescent="0.35">
      <c r="A56" s="7">
        <f t="shared" si="2"/>
        <v>0.98000000000000054</v>
      </c>
      <c r="B56" s="8">
        <v>-3.630424013972509</v>
      </c>
      <c r="C56" s="11">
        <f t="shared" si="4"/>
        <v>-6.3362852287288454E-2</v>
      </c>
      <c r="D56" s="11">
        <f t="shared" si="5"/>
        <v>0.71939697567599592</v>
      </c>
      <c r="E56" s="11">
        <f t="shared" si="3"/>
        <v>0.35969848783799796</v>
      </c>
      <c r="F56" s="12"/>
      <c r="I56" s="4">
        <v>1.02</v>
      </c>
      <c r="J56" s="4">
        <v>-1.9313187822787961</v>
      </c>
    </row>
    <row r="57" spans="1:10" x14ac:dyDescent="0.35">
      <c r="A57" s="7">
        <f t="shared" si="2"/>
        <v>1.0000000000000004</v>
      </c>
      <c r="B57" s="8">
        <v>-2.7918193344331841</v>
      </c>
      <c r="C57" s="11">
        <f t="shared" si="4"/>
        <v>-4.8726439506695453E-2</v>
      </c>
      <c r="D57" s="11">
        <f t="shared" si="5"/>
        <v>0.74137451577290758</v>
      </c>
      <c r="E57" s="11">
        <f t="shared" si="3"/>
        <v>0.37068725788645379</v>
      </c>
      <c r="F57" s="12"/>
      <c r="I57" s="4">
        <v>1.04</v>
      </c>
      <c r="J57" s="4">
        <v>-1.055671150399625</v>
      </c>
    </row>
    <row r="58" spans="1:10" x14ac:dyDescent="0.35">
      <c r="A58" s="7">
        <f t="shared" si="2"/>
        <v>1.0200000000000005</v>
      </c>
      <c r="B58" s="8">
        <v>-1.9313187822787961</v>
      </c>
      <c r="C58" s="11">
        <f t="shared" si="4"/>
        <v>-3.3707871656372207E-2</v>
      </c>
      <c r="D58" s="11">
        <f t="shared" si="5"/>
        <v>0.75753755284765045</v>
      </c>
      <c r="E58" s="11">
        <f t="shared" si="3"/>
        <v>0.37876877642382523</v>
      </c>
      <c r="F58" s="12"/>
      <c r="I58" s="4">
        <v>1.06</v>
      </c>
      <c r="J58" s="4">
        <v>-0.1717440282441916</v>
      </c>
    </row>
    <row r="59" spans="1:10" x14ac:dyDescent="0.35">
      <c r="A59" s="7">
        <f t="shared" si="2"/>
        <v>1.0400000000000005</v>
      </c>
      <c r="B59" s="8">
        <v>-1.055671150399625</v>
      </c>
      <c r="C59" s="11">
        <f t="shared" si="4"/>
        <v>-1.8424937392789408E-2</v>
      </c>
      <c r="D59" s="11">
        <f t="shared" si="5"/>
        <v>0.76775932232183419</v>
      </c>
      <c r="E59" s="11">
        <f t="shared" si="3"/>
        <v>0.3838796611609171</v>
      </c>
      <c r="F59" s="12"/>
      <c r="I59" s="4">
        <v>1.08</v>
      </c>
      <c r="J59" s="4">
        <v>0.71353005978345208</v>
      </c>
    </row>
    <row r="60" spans="1:10" x14ac:dyDescent="0.35">
      <c r="A60" s="7">
        <f t="shared" si="2"/>
        <v>1.0600000000000005</v>
      </c>
      <c r="B60" s="8">
        <v>-0.1717440282441916</v>
      </c>
      <c r="C60" s="11">
        <f t="shared" si="4"/>
        <v>-2.9974987634988149E-3</v>
      </c>
      <c r="D60" s="11">
        <f t="shared" si="5"/>
        <v>0.77195965619907259</v>
      </c>
      <c r="E60" s="11">
        <f t="shared" si="3"/>
        <v>0.38597982809953629</v>
      </c>
      <c r="F60" s="12"/>
      <c r="I60" s="4">
        <v>1.1000000000000001</v>
      </c>
      <c r="J60" s="4">
        <v>1.593208025202679</v>
      </c>
    </row>
    <row r="61" spans="1:10" x14ac:dyDescent="0.35">
      <c r="A61" s="7">
        <f t="shared" si="2"/>
        <v>1.0800000000000005</v>
      </c>
      <c r="B61" s="8">
        <v>0.71353005978345208</v>
      </c>
      <c r="C61" s="11">
        <f t="shared" si="4"/>
        <v>1.2453448855173523E-2</v>
      </c>
      <c r="D61" s="11">
        <f t="shared" si="5"/>
        <v>0.77010561181206605</v>
      </c>
      <c r="E61" s="11">
        <f t="shared" si="3"/>
        <v>0.38505280590603302</v>
      </c>
      <c r="F61" s="12"/>
      <c r="I61" s="4">
        <v>1.1200000000000001</v>
      </c>
      <c r="J61" s="4">
        <v>2.4603906691880022</v>
      </c>
    </row>
    <row r="62" spans="1:10" x14ac:dyDescent="0.35">
      <c r="A62" s="7">
        <f t="shared" si="2"/>
        <v>1.1000000000000005</v>
      </c>
      <c r="B62" s="8">
        <v>1.593208025202679</v>
      </c>
      <c r="C62" s="11">
        <f t="shared" si="4"/>
        <v>2.7806725708983855E-2</v>
      </c>
      <c r="D62" s="11">
        <f t="shared" si="5"/>
        <v>0.76221173018759947</v>
      </c>
      <c r="E62" s="11">
        <f t="shared" si="3"/>
        <v>0.38110586509379973</v>
      </c>
      <c r="F62" s="12"/>
      <c r="I62" s="4">
        <v>1.1399999999999999</v>
      </c>
      <c r="J62" s="4">
        <v>3.3082767920799241</v>
      </c>
    </row>
    <row r="63" spans="1:10" x14ac:dyDescent="0.35">
      <c r="A63" s="7">
        <f t="shared" si="2"/>
        <v>1.1200000000000006</v>
      </c>
      <c r="B63" s="8">
        <v>2.4603906691880022</v>
      </c>
      <c r="C63" s="11">
        <f t="shared" si="4"/>
        <v>4.2941918062677525E-2</v>
      </c>
      <c r="D63" s="11">
        <f t="shared" si="5"/>
        <v>0.74833992200317745</v>
      </c>
      <c r="E63" s="11">
        <f t="shared" si="3"/>
        <v>0.37416996100158872</v>
      </c>
      <c r="F63" s="12"/>
      <c r="I63" s="4">
        <v>1.1599999999999999</v>
      </c>
      <c r="J63" s="4">
        <v>4.1302165343012458</v>
      </c>
    </row>
    <row r="64" spans="1:10" x14ac:dyDescent="0.35">
      <c r="A64" s="7">
        <f t="shared" si="2"/>
        <v>1.1400000000000006</v>
      </c>
      <c r="B64" s="8">
        <v>3.3082767920799241</v>
      </c>
      <c r="C64" s="11">
        <f t="shared" si="4"/>
        <v>5.7740322589110979E-2</v>
      </c>
      <c r="D64" s="11">
        <f t="shared" si="5"/>
        <v>0.72859898202972329</v>
      </c>
      <c r="E64" s="11">
        <f t="shared" si="3"/>
        <v>0.36429949101486164</v>
      </c>
      <c r="F64" s="12"/>
      <c r="I64" s="4">
        <v>1.18</v>
      </c>
      <c r="J64" s="4">
        <v>4.919763530332915</v>
      </c>
    </row>
    <row r="65" spans="1:10" x14ac:dyDescent="0.35">
      <c r="A65" s="7">
        <f t="shared" si="2"/>
        <v>1.1600000000000006</v>
      </c>
      <c r="B65" s="8">
        <v>4.1302165343012458</v>
      </c>
      <c r="C65" s="11">
        <f t="shared" si="4"/>
        <v>7.2085877343866483E-2</v>
      </c>
      <c r="D65" s="11">
        <f t="shared" si="5"/>
        <v>0.70314373586846712</v>
      </c>
      <c r="E65" s="11">
        <f t="shared" si="3"/>
        <v>0.35157186793423356</v>
      </c>
      <c r="F65" s="12"/>
      <c r="I65" s="4">
        <v>1.2</v>
      </c>
      <c r="J65" s="4">
        <v>5.6707254667126961</v>
      </c>
    </row>
    <row r="66" spans="1:10" x14ac:dyDescent="0.35">
      <c r="A66" s="7">
        <f t="shared" si="2"/>
        <v>1.1800000000000006</v>
      </c>
      <c r="B66" s="8">
        <v>4.919763530332915</v>
      </c>
      <c r="C66" s="11">
        <f t="shared" si="4"/>
        <v>8.5866072023849688E-2</v>
      </c>
      <c r="D66" s="11">
        <f t="shared" si="5"/>
        <v>0.67217382567406314</v>
      </c>
      <c r="E66" s="11">
        <f t="shared" si="3"/>
        <v>0.33608691283703157</v>
      </c>
      <c r="F66" s="12"/>
      <c r="I66" s="4">
        <v>1.22</v>
      </c>
      <c r="J66" s="4">
        <v>6.3772126475369371</v>
      </c>
    </row>
    <row r="67" spans="1:10" x14ac:dyDescent="0.35">
      <c r="A67" s="7">
        <f t="shared" si="2"/>
        <v>1.2000000000000006</v>
      </c>
      <c r="B67" s="8">
        <v>5.6707254667126961</v>
      </c>
      <c r="C67" s="11">
        <f t="shared" si="4"/>
        <v>9.8972830370829032E-2</v>
      </c>
      <c r="D67" s="11">
        <f t="shared" si="5"/>
        <v>0.63593214438737389</v>
      </c>
      <c r="E67" s="11">
        <f t="shared" si="3"/>
        <v>0.31796607219368694</v>
      </c>
      <c r="F67" s="12"/>
      <c r="I67" s="4">
        <v>1.24</v>
      </c>
      <c r="J67" s="4">
        <v>7.033684186572537</v>
      </c>
    </row>
    <row r="68" spans="1:10" x14ac:dyDescent="0.35">
      <c r="A68" s="7">
        <f t="shared" si="2"/>
        <v>1.2200000000000006</v>
      </c>
      <c r="B68" s="8">
        <v>6.3772126475369371</v>
      </c>
      <c r="C68" s="11">
        <f t="shared" si="4"/>
        <v>0.11130335779934467</v>
      </c>
      <c r="D68" s="11">
        <f t="shared" si="5"/>
        <v>0.5947029307580296</v>
      </c>
      <c r="E68" s="11">
        <f t="shared" si="3"/>
        <v>0.2973514653790148</v>
      </c>
      <c r="F68" s="12"/>
      <c r="I68" s="4">
        <v>1.26</v>
      </c>
      <c r="J68" s="4">
        <v>7.6349914637003948</v>
      </c>
    </row>
    <row r="69" spans="1:10" x14ac:dyDescent="0.35">
      <c r="A69" s="7">
        <f t="shared" si="2"/>
        <v>1.2400000000000007</v>
      </c>
      <c r="B69" s="8">
        <v>7.033684186572537</v>
      </c>
      <c r="C69" s="11">
        <f t="shared" si="4"/>
        <v>0.12276094760115024</v>
      </c>
      <c r="D69" s="11">
        <f t="shared" si="5"/>
        <v>0.54880954009721583</v>
      </c>
      <c r="E69" s="11">
        <f t="shared" si="3"/>
        <v>0.27440477004860792</v>
      </c>
      <c r="F69" s="12"/>
      <c r="I69" s="4">
        <v>1.28</v>
      </c>
      <c r="J69" s="4">
        <v>8.1764185048672786</v>
      </c>
    </row>
    <row r="70" spans="1:10" x14ac:dyDescent="0.35">
      <c r="A70" s="7">
        <f t="shared" si="2"/>
        <v>1.2600000000000007</v>
      </c>
      <c r="B70" s="8">
        <v>7.6349914637003948</v>
      </c>
      <c r="C70" s="11">
        <f t="shared" si="4"/>
        <v>0.13325573940323332</v>
      </c>
      <c r="D70" s="11">
        <f t="shared" si="5"/>
        <v>0.4986119082444006</v>
      </c>
      <c r="E70" s="11">
        <f t="shared" si="3"/>
        <v>0.2493059541222003</v>
      </c>
      <c r="F70" s="12"/>
      <c r="I70" s="4">
        <v>1.3</v>
      </c>
      <c r="J70" s="4">
        <v>8.6537189688513418</v>
      </c>
    </row>
    <row r="71" spans="1:10" x14ac:dyDescent="0.35">
      <c r="A71" s="7">
        <f t="shared" si="2"/>
        <v>1.2800000000000007</v>
      </c>
      <c r="B71" s="8">
        <v>8.1764185048672786</v>
      </c>
      <c r="C71" s="11">
        <f t="shared" ref="C71:C107" si="6">$D$3*COS($E$3*A71)</f>
        <v>0.14270542393092628</v>
      </c>
      <c r="D71" s="11">
        <f t="shared" si="5"/>
        <v>0.44450372863778814</v>
      </c>
      <c r="E71" s="11">
        <f t="shared" si="3"/>
        <v>0.22225186431889407</v>
      </c>
      <c r="F71" s="12"/>
      <c r="I71" s="4">
        <v>1.32</v>
      </c>
      <c r="J71" s="4">
        <v>9.0631494507590133</v>
      </c>
    </row>
    <row r="72" spans="1:10" x14ac:dyDescent="0.35">
      <c r="A72" s="7">
        <f t="shared" si="2"/>
        <v>1.3000000000000007</v>
      </c>
      <c r="B72" s="8">
        <v>8.6537189688513418</v>
      </c>
      <c r="C72" s="11">
        <f t="shared" si="6"/>
        <v>0.15103588854874486</v>
      </c>
      <c r="D72" s="11">
        <f t="shared" ref="D72:D106" si="7">(C73-C71)/(A73-A71)</f>
        <v>0.38690936462836106</v>
      </c>
      <c r="E72" s="11">
        <f t="shared" si="3"/>
        <v>0.19345468231418053</v>
      </c>
      <c r="F72" s="12"/>
      <c r="I72" s="4">
        <v>1.34</v>
      </c>
      <c r="J72" s="4">
        <v>9.4014988410582347</v>
      </c>
    </row>
    <row r="73" spans="1:10" x14ac:dyDescent="0.35">
      <c r="A73" s="7">
        <f t="shared" ref="A73:A107" si="8">A72+0.02</f>
        <v>1.3200000000000007</v>
      </c>
      <c r="B73" s="8">
        <v>9.0631494507590133</v>
      </c>
      <c r="C73" s="11">
        <f t="shared" si="6"/>
        <v>0.15818179851606073</v>
      </c>
      <c r="D73" s="11">
        <f t="shared" si="7"/>
        <v>0.32628052125381374</v>
      </c>
      <c r="E73" s="11">
        <f t="shared" ref="E73:E129" si="9">$C$3*D73</f>
        <v>0.16314026062690687</v>
      </c>
      <c r="F73" s="12"/>
      <c r="I73" s="4">
        <v>1.36</v>
      </c>
      <c r="J73" s="4">
        <v>9.6661135098890778</v>
      </c>
    </row>
    <row r="74" spans="1:10" x14ac:dyDescent="0.35">
      <c r="A74" s="7">
        <f t="shared" si="8"/>
        <v>1.3400000000000007</v>
      </c>
      <c r="B74" s="8">
        <v>9.4014988410582347</v>
      </c>
      <c r="C74" s="11">
        <f t="shared" si="6"/>
        <v>0.16408710939889742</v>
      </c>
      <c r="D74" s="11">
        <f t="shared" si="7"/>
        <v>0.26309270257523126</v>
      </c>
      <c r="E74" s="11">
        <f t="shared" si="9"/>
        <v>0.13154635128761563</v>
      </c>
      <c r="F74" s="12"/>
      <c r="I74" s="4">
        <v>1.38</v>
      </c>
      <c r="J74" s="4">
        <v>9.8549181191344442</v>
      </c>
    </row>
    <row r="75" spans="1:10" x14ac:dyDescent="0.35">
      <c r="A75" s="7">
        <f t="shared" si="8"/>
        <v>1.3600000000000008</v>
      </c>
      <c r="B75" s="8">
        <v>9.6661135098890778</v>
      </c>
      <c r="C75" s="11">
        <f t="shared" si="6"/>
        <v>0.16870550661906999</v>
      </c>
      <c r="D75" s="11">
        <f t="shared" si="7"/>
        <v>0.19784148236113766</v>
      </c>
      <c r="E75" s="11">
        <f t="shared" si="9"/>
        <v>9.892074118056883E-2</v>
      </c>
      <c r="F75" s="12"/>
      <c r="I75" s="4">
        <v>1.4</v>
      </c>
      <c r="J75" s="4">
        <v>9.9664318990245366</v>
      </c>
    </row>
    <row r="76" spans="1:10" x14ac:dyDescent="0.35">
      <c r="A76" s="7">
        <f t="shared" si="8"/>
        <v>1.3800000000000008</v>
      </c>
      <c r="B76" s="8">
        <v>9.8549181191344442</v>
      </c>
      <c r="C76" s="11">
        <f t="shared" si="6"/>
        <v>0.17200076869334294</v>
      </c>
      <c r="D76" s="11">
        <f t="shared" si="7"/>
        <v>0.13103861736748132</v>
      </c>
      <c r="E76" s="11">
        <f t="shared" si="9"/>
        <v>6.551930868374066E-2</v>
      </c>
      <c r="F76" s="12"/>
      <c r="I76" s="4">
        <v>1.42</v>
      </c>
      <c r="J76" s="4">
        <v>9.9997802616198044</v>
      </c>
    </row>
    <row r="77" spans="1:10" x14ac:dyDescent="0.35">
      <c r="A77" s="7">
        <f t="shared" si="8"/>
        <v>1.4000000000000008</v>
      </c>
      <c r="B77" s="8">
        <v>9.9664318990245366</v>
      </c>
      <c r="C77" s="11">
        <f t="shared" si="6"/>
        <v>0.17394705131376925</v>
      </c>
      <c r="D77" s="11">
        <f t="shared" si="7"/>
        <v>6.3208033696564941E-2</v>
      </c>
      <c r="E77" s="11">
        <f t="shared" si="9"/>
        <v>3.1604016848282471E-2</v>
      </c>
      <c r="F77" s="12"/>
      <c r="I77" s="4">
        <v>1.44</v>
      </c>
      <c r="J77" s="4">
        <v>9.9547016600893681</v>
      </c>
    </row>
    <row r="78" spans="1:10" x14ac:dyDescent="0.35">
      <c r="A78" s="7">
        <f t="shared" si="8"/>
        <v>1.4200000000000008</v>
      </c>
      <c r="B78" s="8">
        <v>9.9997802616198044</v>
      </c>
      <c r="C78" s="11">
        <f t="shared" si="6"/>
        <v>0.17452909004120554</v>
      </c>
      <c r="D78" s="11">
        <f t="shared" si="7"/>
        <v>-5.1182822866112322E-3</v>
      </c>
      <c r="E78" s="11">
        <f t="shared" si="9"/>
        <v>-2.5591411433056161E-3</v>
      </c>
      <c r="F78" s="12"/>
      <c r="I78" s="4">
        <v>1.46</v>
      </c>
      <c r="J78" s="4">
        <v>9.8315496399884879</v>
      </c>
    </row>
    <row r="79" spans="1:10" x14ac:dyDescent="0.35">
      <c r="A79" s="7">
        <f t="shared" si="8"/>
        <v>1.4400000000000008</v>
      </c>
      <c r="B79" s="8">
        <v>9.9547016600893681</v>
      </c>
      <c r="C79" s="11">
        <f t="shared" si="6"/>
        <v>0.1737423200223048</v>
      </c>
      <c r="D79" s="11">
        <f t="shared" si="7"/>
        <v>-7.3404456253585368E-2</v>
      </c>
      <c r="E79" s="11">
        <f t="shared" si="9"/>
        <v>-3.6702228126792684E-2</v>
      </c>
      <c r="F79" s="12"/>
      <c r="I79" s="4">
        <v>1.48</v>
      </c>
      <c r="J79" s="4">
        <v>9.6312900664471712</v>
      </c>
    </row>
    <row r="80" spans="1:10" x14ac:dyDescent="0.35">
      <c r="A80" s="7">
        <f t="shared" si="8"/>
        <v>1.4600000000000009</v>
      </c>
      <c r="B80" s="8">
        <v>9.8315496399884879</v>
      </c>
      <c r="C80" s="11">
        <f t="shared" si="6"/>
        <v>0.17159291179106212</v>
      </c>
      <c r="D80" s="11">
        <f t="shared" si="7"/>
        <v>-0.14111492870446024</v>
      </c>
      <c r="E80" s="11">
        <f t="shared" si="9"/>
        <v>-7.055746435223012E-2</v>
      </c>
      <c r="F80" s="12"/>
      <c r="I80" s="4">
        <v>1.5</v>
      </c>
      <c r="J80" s="4">
        <v>9.3554935490167352</v>
      </c>
    </row>
    <row r="81" spans="1:10" x14ac:dyDescent="0.35">
      <c r="A81" s="7">
        <f t="shared" si="8"/>
        <v>1.4800000000000009</v>
      </c>
      <c r="B81" s="8">
        <v>9.6312900664471712</v>
      </c>
      <c r="C81" s="11">
        <f t="shared" si="6"/>
        <v>0.16809772287412639</v>
      </c>
      <c r="D81" s="11">
        <f t="shared" si="7"/>
        <v>-0.20771865529076985</v>
      </c>
      <c r="E81" s="11">
        <f t="shared" si="9"/>
        <v>-0.10385932764538493</v>
      </c>
      <c r="F81" s="12"/>
      <c r="I81" s="4">
        <v>1.52</v>
      </c>
      <c r="J81" s="4">
        <v>9.0063231235852292</v>
      </c>
    </row>
    <row r="82" spans="1:10" x14ac:dyDescent="0.35">
      <c r="A82" s="7">
        <f t="shared" si="8"/>
        <v>1.5000000000000009</v>
      </c>
      <c r="B82" s="8">
        <v>9.3554935490167352</v>
      </c>
      <c r="C82" s="11">
        <f t="shared" si="6"/>
        <v>0.16328416557943132</v>
      </c>
      <c r="D82" s="11">
        <f t="shared" si="7"/>
        <v>-0.27269327172660512</v>
      </c>
      <c r="E82" s="11">
        <f t="shared" si="9"/>
        <v>-0.13634663586330256</v>
      </c>
      <c r="F82" s="12"/>
      <c r="I82" s="4">
        <v>1.54</v>
      </c>
      <c r="J82" s="4">
        <v>8.5865172879708727</v>
      </c>
    </row>
    <row r="83" spans="1:10" x14ac:dyDescent="0.35">
      <c r="A83" s="7">
        <f t="shared" si="8"/>
        <v>1.5200000000000009</v>
      </c>
      <c r="B83" s="8">
        <v>9.0063231235852292</v>
      </c>
      <c r="C83" s="11">
        <f t="shared" si="6"/>
        <v>0.15718999200506217</v>
      </c>
      <c r="D83" s="11">
        <f t="shared" si="7"/>
        <v>-0.33552919062314512</v>
      </c>
      <c r="E83" s="11">
        <f t="shared" si="9"/>
        <v>-0.16776459531157256</v>
      </c>
      <c r="F83" s="12"/>
      <c r="I83" s="4">
        <v>1.56</v>
      </c>
      <c r="J83" s="4">
        <v>8.0993685242430811</v>
      </c>
    </row>
    <row r="84" spans="1:10" x14ac:dyDescent="0.35">
      <c r="A84" s="7">
        <f t="shared" si="8"/>
        <v>1.5400000000000009</v>
      </c>
      <c r="B84" s="8">
        <v>8.5865172879708727</v>
      </c>
      <c r="C84" s="11">
        <f t="shared" si="6"/>
        <v>0.1498629979545055</v>
      </c>
      <c r="D84" s="11">
        <f t="shared" si="7"/>
        <v>-0.39573359811566727</v>
      </c>
      <c r="E84" s="11">
        <f t="shared" si="9"/>
        <v>-0.19786679905783364</v>
      </c>
      <c r="F84" s="12"/>
      <c r="I84" s="4">
        <v>1.58</v>
      </c>
      <c r="J84" s="4">
        <v>7.5486974762177317</v>
      </c>
    </row>
    <row r="85" spans="1:10" x14ac:dyDescent="0.35">
      <c r="A85" s="7">
        <f t="shared" si="8"/>
        <v>1.5600000000000009</v>
      </c>
      <c r="B85" s="8">
        <v>8.0993685242430811</v>
      </c>
      <c r="C85" s="11">
        <f t="shared" si="6"/>
        <v>0.14136064808043547</v>
      </c>
      <c r="D85" s="11">
        <f t="shared" si="7"/>
        <v>-0.45283431893800535</v>
      </c>
      <c r="E85" s="11">
        <f t="shared" si="9"/>
        <v>-0.22641715946900268</v>
      </c>
      <c r="F85" s="12"/>
      <c r="I85" s="4">
        <v>1.6</v>
      </c>
      <c r="J85" s="4">
        <v>6.9388229846491933</v>
      </c>
    </row>
    <row r="86" spans="1:10" x14ac:dyDescent="0.35">
      <c r="A86" s="7">
        <f t="shared" si="8"/>
        <v>1.580000000000001</v>
      </c>
      <c r="B86" s="8">
        <v>7.5486974762177317</v>
      </c>
      <c r="C86" s="11">
        <f t="shared" si="6"/>
        <v>0.13174962519698527</v>
      </c>
      <c r="D86" s="11">
        <f t="shared" si="7"/>
        <v>-0.50638351963118811</v>
      </c>
      <c r="E86" s="11">
        <f t="shared" si="9"/>
        <v>-0.25319175981559405</v>
      </c>
      <c r="F86" s="12"/>
      <c r="I86" s="4">
        <v>1.62</v>
      </c>
      <c r="J86" s="4">
        <v>6.2745282151291129</v>
      </c>
    </row>
    <row r="87" spans="1:10" x14ac:dyDescent="0.35">
      <c r="A87" s="7">
        <f t="shared" si="8"/>
        <v>1.600000000000001</v>
      </c>
      <c r="B87" s="8">
        <v>6.9388229846491933</v>
      </c>
      <c r="C87" s="11">
        <f t="shared" si="6"/>
        <v>0.12110530729518793</v>
      </c>
      <c r="D87" s="11">
        <f t="shared" si="7"/>
        <v>-0.555961220842491</v>
      </c>
      <c r="E87" s="11">
        <f t="shared" si="9"/>
        <v>-0.2779806104212455</v>
      </c>
      <c r="F87" s="12"/>
      <c r="I87" s="4">
        <v>1.64</v>
      </c>
      <c r="J87" s="4">
        <v>5.5610231443464837</v>
      </c>
    </row>
    <row r="88" spans="1:10" x14ac:dyDescent="0.35">
      <c r="A88" s="7">
        <f t="shared" si="8"/>
        <v>1.620000000000001</v>
      </c>
      <c r="B88" s="8">
        <v>6.2745282151291129</v>
      </c>
      <c r="C88" s="11">
        <f t="shared" si="6"/>
        <v>0.10951117636328561</v>
      </c>
      <c r="D88" s="11">
        <f t="shared" si="7"/>
        <v>-0.60117859116836281</v>
      </c>
      <c r="E88" s="11">
        <f t="shared" si="9"/>
        <v>-0.3005892955841814</v>
      </c>
      <c r="F88" s="12"/>
      <c r="I88" s="4">
        <v>1.66</v>
      </c>
      <c r="J88" s="4">
        <v>4.8039036989242589</v>
      </c>
    </row>
    <row r="89" spans="1:10" x14ac:dyDescent="0.35">
      <c r="A89" s="7">
        <f t="shared" si="8"/>
        <v>1.640000000000001</v>
      </c>
      <c r="B89" s="8">
        <v>5.5610231443464837</v>
      </c>
      <c r="C89" s="11">
        <f t="shared" si="6"/>
        <v>9.7058163648453391E-2</v>
      </c>
      <c r="D89" s="11">
        <f t="shared" si="7"/>
        <v>-0.64168099670808942</v>
      </c>
      <c r="E89" s="11">
        <f t="shared" si="9"/>
        <v>-0.32084049835404471</v>
      </c>
      <c r="F89" s="12"/>
      <c r="I89" s="4">
        <v>1.68</v>
      </c>
      <c r="J89" s="4">
        <v>4.0091078673013456</v>
      </c>
    </row>
    <row r="90" spans="1:10" x14ac:dyDescent="0.35">
      <c r="A90" s="7">
        <f t="shared" si="8"/>
        <v>1.660000000000001</v>
      </c>
      <c r="B90" s="8">
        <v>4.8039036989242589</v>
      </c>
      <c r="C90" s="11">
        <f t="shared" si="6"/>
        <v>8.384393649496201E-2</v>
      </c>
      <c r="D90" s="11">
        <f t="shared" si="7"/>
        <v>-0.67715078241094162</v>
      </c>
      <c r="E90" s="11">
        <f t="shared" si="9"/>
        <v>-0.33857539120547081</v>
      </c>
      <c r="F90" s="12"/>
      <c r="I90" s="4">
        <v>1.7</v>
      </c>
      <c r="J90" s="4">
        <v>3.182869128868592</v>
      </c>
    </row>
    <row r="91" spans="1:10" x14ac:dyDescent="0.35">
      <c r="A91" s="7">
        <f t="shared" si="8"/>
        <v>1.680000000000001</v>
      </c>
      <c r="B91" s="8">
        <v>4.0091078673013456</v>
      </c>
      <c r="C91" s="11">
        <f t="shared" si="6"/>
        <v>6.9972132352015701E-2</v>
      </c>
      <c r="D91" s="11">
        <f t="shared" si="7"/>
        <v>-0.70730976340305163</v>
      </c>
      <c r="E91" s="11">
        <f t="shared" si="9"/>
        <v>-0.35365488170152581</v>
      </c>
      <c r="F91" s="12"/>
      <c r="I91" s="4">
        <v>1.72</v>
      </c>
      <c r="J91" s="4">
        <v>2.3316675656081198</v>
      </c>
    </row>
    <row r="92" spans="1:10" x14ac:dyDescent="0.35">
      <c r="A92" s="7">
        <f t="shared" si="8"/>
        <v>1.7000000000000011</v>
      </c>
      <c r="B92" s="8">
        <v>3.182869128868592</v>
      </c>
      <c r="C92" s="11">
        <f t="shared" si="6"/>
        <v>5.5551545958839918E-2</v>
      </c>
      <c r="D92" s="11">
        <f t="shared" si="7"/>
        <v>-0.73192140675484962</v>
      </c>
      <c r="E92" s="11">
        <f t="shared" si="9"/>
        <v>-0.36596070337742481</v>
      </c>
      <c r="F92" s="12"/>
      <c r="I92" s="4">
        <v>1.74</v>
      </c>
      <c r="J92" s="4">
        <v>1.462179039660781</v>
      </c>
    </row>
    <row r="93" spans="1:10" x14ac:dyDescent="0.35">
      <c r="A93" s="7">
        <f t="shared" si="8"/>
        <v>1.7200000000000011</v>
      </c>
      <c r="B93" s="8">
        <v>2.3316675656081198</v>
      </c>
      <c r="C93" s="11">
        <f t="shared" si="6"/>
        <v>4.0695276081821691E-2</v>
      </c>
      <c r="D93" s="11">
        <f t="shared" si="7"/>
        <v>-0.75079268657778575</v>
      </c>
      <c r="E93" s="11">
        <f t="shared" si="9"/>
        <v>-0.37539634328889288</v>
      </c>
      <c r="F93" s="12"/>
      <c r="I93" s="4">
        <v>1.76</v>
      </c>
      <c r="J93" s="4">
        <v>0.58122283541565367</v>
      </c>
    </row>
    <row r="94" spans="1:10" x14ac:dyDescent="0.35">
      <c r="A94" s="7">
        <f t="shared" si="8"/>
        <v>1.7400000000000011</v>
      </c>
      <c r="B94" s="8">
        <v>1.462179039660781</v>
      </c>
      <c r="C94" s="11">
        <f t="shared" si="6"/>
        <v>2.5519838495728461E-2</v>
      </c>
      <c r="D94" s="11">
        <f t="shared" si="7"/>
        <v>-0.76377559790105443</v>
      </c>
      <c r="E94" s="11">
        <f t="shared" si="9"/>
        <v>-0.38188779895052721</v>
      </c>
      <c r="F94" s="12"/>
      <c r="I94" s="4">
        <v>1.78</v>
      </c>
      <c r="J94" s="4">
        <v>-0.3042918232424312</v>
      </c>
    </row>
    <row r="95" spans="1:10" x14ac:dyDescent="0.35">
      <c r="A95" s="7">
        <f t="shared" si="8"/>
        <v>1.7600000000000011</v>
      </c>
      <c r="B95" s="8">
        <v>0.58122283541565367</v>
      </c>
      <c r="C95" s="11">
        <f t="shared" si="6"/>
        <v>1.0144252165779487E-2</v>
      </c>
      <c r="D95" s="11">
        <f t="shared" si="7"/>
        <v>-0.77076831745515595</v>
      </c>
      <c r="E95" s="11">
        <f t="shared" si="9"/>
        <v>-0.38538415872757797</v>
      </c>
      <c r="F95" s="12"/>
      <c r="I95" s="4">
        <v>1.8</v>
      </c>
      <c r="J95" s="4">
        <v>-1.1874199610689671</v>
      </c>
    </row>
    <row r="96" spans="1:10" x14ac:dyDescent="0.35">
      <c r="A96" s="7">
        <f t="shared" si="8"/>
        <v>1.7800000000000011</v>
      </c>
      <c r="B96" s="8">
        <v>-0.3042918232424312</v>
      </c>
      <c r="C96" s="11">
        <f t="shared" si="6"/>
        <v>-5.3108942024778063E-3</v>
      </c>
      <c r="D96" s="11">
        <f t="shared" si="7"/>
        <v>-0.77171600225841863</v>
      </c>
      <c r="E96" s="11">
        <f t="shared" si="9"/>
        <v>-0.38585800112920932</v>
      </c>
      <c r="F96" s="12"/>
      <c r="I96" s="4">
        <v>1.82</v>
      </c>
      <c r="J96" s="4">
        <v>-2.061235319989136</v>
      </c>
    </row>
    <row r="97" spans="1:10" x14ac:dyDescent="0.35">
      <c r="A97" s="7">
        <f t="shared" si="8"/>
        <v>1.8000000000000012</v>
      </c>
      <c r="B97" s="8">
        <v>-1.1874199610689671</v>
      </c>
      <c r="C97" s="11">
        <f t="shared" si="6"/>
        <v>-2.0724387924557285E-2</v>
      </c>
      <c r="D97" s="11">
        <f t="shared" si="7"/>
        <v>-0.76661121974330182</v>
      </c>
      <c r="E97" s="11">
        <f t="shared" si="9"/>
        <v>-0.38330560987165091</v>
      </c>
      <c r="F97" s="12"/>
      <c r="I97" s="4">
        <v>1.84</v>
      </c>
      <c r="J97" s="4">
        <v>-2.918884680830713</v>
      </c>
    </row>
    <row r="98" spans="1:10" x14ac:dyDescent="0.35">
      <c r="A98" s="7">
        <f t="shared" si="8"/>
        <v>1.8200000000000012</v>
      </c>
      <c r="B98" s="8">
        <v>-2.061235319989136</v>
      </c>
      <c r="C98" s="11">
        <f t="shared" si="6"/>
        <v>-3.5975342992209905E-2</v>
      </c>
      <c r="D98" s="11">
        <f t="shared" si="7"/>
        <v>-0.75549400604908301</v>
      </c>
      <c r="E98" s="11">
        <f t="shared" si="9"/>
        <v>-0.37774700302454151</v>
      </c>
      <c r="F98" s="12"/>
      <c r="I98" s="4">
        <v>1.86</v>
      </c>
      <c r="J98" s="4">
        <v>-3.7536416122227121</v>
      </c>
    </row>
    <row r="99" spans="1:10" x14ac:dyDescent="0.35">
      <c r="A99" s="7">
        <f t="shared" si="8"/>
        <v>1.8400000000000012</v>
      </c>
      <c r="B99" s="8">
        <v>-2.918884680830713</v>
      </c>
      <c r="C99" s="11">
        <f t="shared" si="6"/>
        <v>-5.0944148166520632E-2</v>
      </c>
      <c r="D99" s="11">
        <f t="shared" si="7"/>
        <v>-0.73845155202363733</v>
      </c>
      <c r="E99" s="11">
        <f t="shared" si="9"/>
        <v>-0.36922577601181866</v>
      </c>
      <c r="F99" s="12"/>
      <c r="I99" s="4">
        <v>1.88</v>
      </c>
      <c r="J99" s="4">
        <v>-4.5589592251136413</v>
      </c>
    </row>
    <row r="100" spans="1:10" x14ac:dyDescent="0.35">
      <c r="A100" s="7">
        <f t="shared" si="8"/>
        <v>1.8600000000000012</v>
      </c>
      <c r="B100" s="8">
        <v>-3.7536416122227121</v>
      </c>
      <c r="C100" s="11">
        <f t="shared" si="6"/>
        <v>-6.5513405073155423E-2</v>
      </c>
      <c r="D100" s="11">
        <f t="shared" si="7"/>
        <v>-0.71561751939706408</v>
      </c>
      <c r="E100" s="11">
        <f t="shared" si="9"/>
        <v>-0.35780875969853204</v>
      </c>
      <c r="F100" s="12"/>
      <c r="I100" s="4">
        <v>1.9</v>
      </c>
      <c r="J100" s="4">
        <v>-5.3285215191631332</v>
      </c>
    </row>
    <row r="101" spans="1:10" x14ac:dyDescent="0.35">
      <c r="A101" s="7">
        <f t="shared" si="8"/>
        <v>1.8800000000000012</v>
      </c>
      <c r="B101" s="8">
        <v>-4.5589592251136413</v>
      </c>
      <c r="C101" s="11">
        <f t="shared" si="6"/>
        <v>-7.9568848942403222E-2</v>
      </c>
      <c r="D101" s="11">
        <f t="shared" si="7"/>
        <v>-0.68717099249030333</v>
      </c>
      <c r="E101" s="11">
        <f t="shared" si="9"/>
        <v>-0.34358549624515167</v>
      </c>
      <c r="F101" s="12"/>
      <c r="I101" s="4">
        <v>1.92</v>
      </c>
      <c r="J101" s="4">
        <v>-6.0562929183036092</v>
      </c>
    </row>
    <row r="102" spans="1:10" x14ac:dyDescent="0.35">
      <c r="A102" s="7">
        <f t="shared" si="8"/>
        <v>1.9000000000000012</v>
      </c>
      <c r="B102" s="8">
        <v>-5.3285215191631332</v>
      </c>
      <c r="C102" s="11">
        <f t="shared" si="6"/>
        <v>-9.3000244772767582E-2</v>
      </c>
      <c r="D102" s="11">
        <f t="shared" si="7"/>
        <v>-0.65333507368029187</v>
      </c>
      <c r="E102" s="11">
        <f t="shared" si="9"/>
        <v>-0.32666753684014593</v>
      </c>
      <c r="F102" s="12"/>
      <c r="I102" s="4">
        <v>1.94</v>
      </c>
      <c r="J102" s="4">
        <v>-6.7365656069712747</v>
      </c>
    </row>
    <row r="103" spans="1:10" x14ac:dyDescent="0.35">
      <c r="A103" s="7">
        <f t="shared" si="8"/>
        <v>1.9200000000000013</v>
      </c>
      <c r="B103" s="8">
        <v>-6.0562929183036092</v>
      </c>
      <c r="C103" s="11">
        <f t="shared" si="6"/>
        <v>-0.10570225188961492</v>
      </c>
      <c r="D103" s="11">
        <f t="shared" si="7"/>
        <v>-0.61437513363730867</v>
      </c>
      <c r="E103" s="11">
        <f t="shared" si="9"/>
        <v>-0.30718756681865433</v>
      </c>
      <c r="F103" s="12"/>
      <c r="I103" s="4">
        <v>1.96</v>
      </c>
      <c r="J103" s="4">
        <v>-7.3640042957543468</v>
      </c>
    </row>
    <row r="104" spans="1:10" x14ac:dyDescent="0.35">
      <c r="A104" s="7">
        <f t="shared" si="8"/>
        <v>1.9400000000000013</v>
      </c>
      <c r="B104" s="8">
        <v>-6.7365656069712747</v>
      </c>
      <c r="C104" s="11">
        <f t="shared" si="6"/>
        <v>-0.11757525011825995</v>
      </c>
      <c r="D104" s="11">
        <f t="shared" si="7"/>
        <v>-0.57059673005763878</v>
      </c>
      <c r="E104" s="11">
        <f t="shared" si="9"/>
        <v>-0.28529836502881939</v>
      </c>
      <c r="F104" s="12"/>
      <c r="I104" s="4">
        <v>1.98</v>
      </c>
      <c r="J104" s="4">
        <v>-7.9336880653677149</v>
      </c>
    </row>
    <row r="105" spans="1:10" x14ac:dyDescent="0.35">
      <c r="A105" s="7">
        <f t="shared" si="8"/>
        <v>1.9600000000000013</v>
      </c>
      <c r="B105" s="8">
        <v>-7.3640042957543468</v>
      </c>
      <c r="C105" s="11">
        <f t="shared" si="6"/>
        <v>-0.12852612109192049</v>
      </c>
      <c r="D105" s="11">
        <f t="shared" si="7"/>
        <v>-0.52234321121465865</v>
      </c>
      <c r="E105" s="11">
        <f t="shared" si="9"/>
        <v>-0.26117160560732933</v>
      </c>
      <c r="F105" s="12"/>
      <c r="I105" s="4">
        <v>2</v>
      </c>
      <c r="J105" s="4">
        <v>-8.4411489607770118</v>
      </c>
    </row>
    <row r="106" spans="1:10" x14ac:dyDescent="0.35">
      <c r="A106" s="7">
        <f t="shared" si="8"/>
        <v>1.9800000000000013</v>
      </c>
      <c r="B106" s="8">
        <v>-7.9336880653677149</v>
      </c>
      <c r="C106" s="11">
        <f t="shared" si="6"/>
        <v>-0.13846897856684631</v>
      </c>
      <c r="D106" s="11">
        <f t="shared" si="7"/>
        <v>-0.46999302312341296</v>
      </c>
      <c r="E106" s="11">
        <f t="shared" si="9"/>
        <v>-0.23499651156170648</v>
      </c>
      <c r="F106" s="12"/>
      <c r="I106" s="4">
        <v>2.02</v>
      </c>
      <c r="J106" s="4">
        <v>-8.8824070327835312</v>
      </c>
    </row>
    <row r="107" spans="1:10" x14ac:dyDescent="0.35">
      <c r="A107" s="7">
        <f t="shared" si="8"/>
        <v>2.0000000000000013</v>
      </c>
      <c r="B107" s="8">
        <v>-8.4411489607770118</v>
      </c>
      <c r="C107" s="11">
        <f t="shared" si="6"/>
        <v>-0.14732584201685703</v>
      </c>
      <c r="D107" s="11">
        <f t="shared" ref="D107:D129" si="10">(C108-C106)/(A108-A106)</f>
        <v>-0.4139567414381688</v>
      </c>
      <c r="E107" s="11">
        <f t="shared" si="9"/>
        <v>-0.2069783707190844</v>
      </c>
      <c r="F107" s="7"/>
      <c r="I107" s="4">
        <v>2.04</v>
      </c>
      <c r="J107" s="4">
        <v>-9.2540015522434285</v>
      </c>
    </row>
    <row r="108" spans="1:10" x14ac:dyDescent="0.35">
      <c r="A108" s="8">
        <v>2.02</v>
      </c>
      <c r="B108" s="8">
        <v>-8.8824070327835312</v>
      </c>
      <c r="C108" s="11">
        <f t="shared" ref="C108:C130" si="11">$D$3*COS($E$3*A108)</f>
        <v>-0.15502724822437253</v>
      </c>
      <c r="D108" s="11">
        <f t="shared" si="10"/>
        <v>-0.35467385136143292</v>
      </c>
      <c r="E108" s="11">
        <f t="shared" si="9"/>
        <v>-0.17733692568071646</v>
      </c>
      <c r="F108" s="4"/>
      <c r="I108" s="4">
        <v>2.06</v>
      </c>
      <c r="J108" s="4">
        <v>-9.5530181521121786</v>
      </c>
    </row>
    <row r="109" spans="1:10" x14ac:dyDescent="0.35">
      <c r="A109" s="8">
        <v>2.04</v>
      </c>
      <c r="B109" s="8">
        <v>-9.2540015522434285</v>
      </c>
      <c r="C109" s="11">
        <f t="shared" si="11"/>
        <v>-0.16151279607131389</v>
      </c>
      <c r="D109" s="11">
        <f t="shared" si="10"/>
        <v>-0.29260930081923653</v>
      </c>
      <c r="E109" s="11">
        <f t="shared" si="9"/>
        <v>-0.14630465040961826</v>
      </c>
      <c r="F109" s="4"/>
      <c r="I109" s="4">
        <v>2.08</v>
      </c>
      <c r="J109" s="4">
        <v>-9.7771116844427866</v>
      </c>
    </row>
    <row r="110" spans="1:10" x14ac:dyDescent="0.35">
      <c r="A110" s="8">
        <v>2.06</v>
      </c>
      <c r="B110" s="8">
        <v>-9.5530181521121786</v>
      </c>
      <c r="C110" s="11">
        <f t="shared" si="11"/>
        <v>-0.166731620257142</v>
      </c>
      <c r="D110" s="11">
        <f t="shared" si="10"/>
        <v>-0.22824985393553926</v>
      </c>
      <c r="E110" s="11">
        <f t="shared" si="9"/>
        <v>-0.11412492696776963</v>
      </c>
      <c r="F110" s="4"/>
      <c r="I110" s="4">
        <v>2.1</v>
      </c>
      <c r="J110" s="4">
        <v>-9.9245246130733467</v>
      </c>
    </row>
    <row r="111" spans="1:10" x14ac:dyDescent="0.35">
      <c r="A111" s="8">
        <v>2.08</v>
      </c>
      <c r="B111" s="8">
        <v>-9.7771116844427866</v>
      </c>
      <c r="C111" s="11">
        <f t="shared" si="11"/>
        <v>-0.17064279022873546</v>
      </c>
      <c r="D111" s="11">
        <f t="shared" si="10"/>
        <v>-0.16210027340510441</v>
      </c>
      <c r="E111" s="11">
        <f t="shared" si="9"/>
        <v>-8.1050136702552206E-2</v>
      </c>
      <c r="F111" s="4"/>
      <c r="I111" s="4">
        <v>2.12</v>
      </c>
      <c r="J111" s="4">
        <v>-9.9941007977524929</v>
      </c>
    </row>
    <row r="112" spans="1:10" x14ac:dyDescent="0.35">
      <c r="A112" s="8">
        <v>2.1</v>
      </c>
      <c r="B112" s="8">
        <v>-9.9245246130733467</v>
      </c>
      <c r="C112" s="11">
        <f t="shared" si="11"/>
        <v>-0.17321563119334618</v>
      </c>
      <c r="D112" s="11">
        <f t="shared" si="10"/>
        <v>-9.467936170593555E-2</v>
      </c>
      <c r="E112" s="11">
        <f t="shared" si="9"/>
        <v>-4.7339680852967775E-2</v>
      </c>
      <c r="F112" s="4"/>
      <c r="I112" s="4">
        <v>2.14</v>
      </c>
      <c r="J112" s="4">
        <v>-9.9852945615956159</v>
      </c>
    </row>
    <row r="113" spans="1:10" x14ac:dyDescent="0.35">
      <c r="A113" s="8">
        <v>2.12</v>
      </c>
      <c r="B113" s="8">
        <v>-9.9941007977524929</v>
      </c>
      <c r="C113" s="11">
        <f t="shared" si="11"/>
        <v>-0.17442996469697289</v>
      </c>
      <c r="D113" s="11">
        <f t="shared" si="10"/>
        <v>-2.6515892199525912E-2</v>
      </c>
      <c r="E113" s="11">
        <f t="shared" si="9"/>
        <v>-1.3257946099762956E-2</v>
      </c>
      <c r="F113" s="4"/>
      <c r="I113" s="4">
        <v>2.16</v>
      </c>
      <c r="J113" s="4">
        <v>-9.8981749707570827</v>
      </c>
    </row>
    <row r="114" spans="1:10" x14ac:dyDescent="0.35">
      <c r="A114" s="8">
        <v>2.14</v>
      </c>
      <c r="B114" s="8">
        <v>-9.9852945615956159</v>
      </c>
      <c r="C114" s="11">
        <f t="shared" si="11"/>
        <v>-0.17427626688132722</v>
      </c>
      <c r="D114" s="11">
        <f t="shared" si="10"/>
        <v>4.1855537969208399E-2</v>
      </c>
      <c r="E114" s="11">
        <f t="shared" si="9"/>
        <v>2.09277689846042E-2</v>
      </c>
      <c r="F114" s="4"/>
      <c r="I114" s="4">
        <v>2.1800000000000002</v>
      </c>
      <c r="J114" s="4">
        <v>-9.7334252927534415</v>
      </c>
    </row>
    <row r="115" spans="1:10" x14ac:dyDescent="0.35">
      <c r="A115" s="8">
        <v>2.16</v>
      </c>
      <c r="B115" s="8">
        <v>-9.8981749707570827</v>
      </c>
      <c r="C115" s="11">
        <f t="shared" si="11"/>
        <v>-0.17275574317820455</v>
      </c>
      <c r="D115" s="11">
        <f t="shared" si="10"/>
        <v>0.10989870064716721</v>
      </c>
      <c r="E115" s="11">
        <f t="shared" si="9"/>
        <v>5.4949350323583605E-2</v>
      </c>
      <c r="F115" s="4"/>
      <c r="I115" s="4">
        <v>2.2000000000000002</v>
      </c>
      <c r="J115" s="4">
        <v>-9.4923376376859547</v>
      </c>
    </row>
    <row r="116" spans="1:10" x14ac:dyDescent="0.35">
      <c r="A116" s="8">
        <v>2.1800000000000002</v>
      </c>
      <c r="B116" s="8">
        <v>-9.7334252927534415</v>
      </c>
      <c r="C116" s="11">
        <f t="shared" si="11"/>
        <v>-0.16988031885544053</v>
      </c>
      <c r="D116" s="11">
        <f t="shared" si="10"/>
        <v>0.17707994224010118</v>
      </c>
      <c r="E116" s="11">
        <f t="shared" si="9"/>
        <v>8.853997112005059E-2</v>
      </c>
      <c r="F116" s="4"/>
      <c r="I116" s="4">
        <v>2.2200000000000002</v>
      </c>
      <c r="J116" s="4">
        <v>-9.1768028243906876</v>
      </c>
    </row>
    <row r="117" spans="1:10" x14ac:dyDescent="0.35">
      <c r="A117" s="8">
        <v>2.2000000000000002</v>
      </c>
      <c r="B117" s="8">
        <v>-9.4923376376859547</v>
      </c>
      <c r="C117" s="11">
        <f t="shared" si="11"/>
        <v>-0.1656725454886005</v>
      </c>
      <c r="D117" s="11">
        <f t="shared" si="10"/>
        <v>0.24287236908770068</v>
      </c>
      <c r="E117" s="11">
        <f t="shared" si="9"/>
        <v>0.12143618454385034</v>
      </c>
      <c r="F117" s="4"/>
      <c r="I117" s="4">
        <v>2.2400000000000002</v>
      </c>
      <c r="J117" s="4">
        <v>-8.7892955509945221</v>
      </c>
    </row>
    <row r="118" spans="1:10" x14ac:dyDescent="0.35">
      <c r="A118" s="8">
        <v>2.2200000000000002</v>
      </c>
      <c r="B118" s="8">
        <v>-9.1768028243906876</v>
      </c>
      <c r="C118" s="11">
        <f t="shared" si="11"/>
        <v>-0.16016542409193249</v>
      </c>
      <c r="D118" s="11">
        <f t="shared" si="10"/>
        <v>0.30675997982142256</v>
      </c>
      <c r="E118" s="11">
        <f t="shared" si="9"/>
        <v>0.15337998991071128</v>
      </c>
      <c r="F118" s="4"/>
      <c r="I118" s="4">
        <v>2.2599999999999998</v>
      </c>
      <c r="J118" s="4">
        <v>-8.3328549861825838</v>
      </c>
    </row>
    <row r="119" spans="1:10" x14ac:dyDescent="0.35">
      <c r="A119" s="8">
        <v>2.2400000000000002</v>
      </c>
      <c r="B119" s="8">
        <v>-8.7892955509945221</v>
      </c>
      <c r="C119" s="11">
        <f t="shared" si="11"/>
        <v>-0.15340214629574359</v>
      </c>
      <c r="D119" s="11">
        <f t="shared" si="10"/>
        <v>0.36824171229549479</v>
      </c>
      <c r="E119" s="11">
        <f t="shared" si="9"/>
        <v>0.1841208561477474</v>
      </c>
      <c r="F119" s="4"/>
      <c r="I119" s="4">
        <v>2.2799999999999998</v>
      </c>
      <c r="J119" s="4">
        <v>-7.8110609333970737</v>
      </c>
    </row>
    <row r="120" spans="1:10" x14ac:dyDescent="0.35">
      <c r="A120" s="8">
        <v>2.2599999999999998</v>
      </c>
      <c r="B120" s="8">
        <v>-8.3328549861825838</v>
      </c>
      <c r="C120" s="11">
        <f t="shared" si="11"/>
        <v>-0.14543575560011285</v>
      </c>
      <c r="D120" s="11">
        <f t="shared" si="10"/>
        <v>0.42683537335157806</v>
      </c>
      <c r="E120" s="11">
        <f t="shared" si="9"/>
        <v>0.21341768667578903</v>
      </c>
      <c r="F120" s="4"/>
      <c r="I120" s="4">
        <v>2.2999999999999998</v>
      </c>
      <c r="J120" s="4">
        <v>-7.2280057549087866</v>
      </c>
    </row>
    <row r="121" spans="1:10" x14ac:dyDescent="0.35">
      <c r="A121" s="8">
        <v>2.2799999999999998</v>
      </c>
      <c r="B121" s="8">
        <v>-7.8110609333970737</v>
      </c>
      <c r="C121" s="11">
        <f t="shared" si="11"/>
        <v>-0.13632873136168064</v>
      </c>
      <c r="D121" s="11">
        <f t="shared" si="10"/>
        <v>0.4820814205963998</v>
      </c>
      <c r="E121" s="11">
        <f t="shared" si="9"/>
        <v>0.2410407102981999</v>
      </c>
      <c r="F121" s="4"/>
      <c r="I121" s="4">
        <v>2.3199999999999998</v>
      </c>
      <c r="J121" s="4">
        <v>-6.5882622759569207</v>
      </c>
    </row>
    <row r="122" spans="1:10" x14ac:dyDescent="0.35">
      <c r="A122" s="8">
        <v>2.2999999999999998</v>
      </c>
      <c r="B122" s="8">
        <v>-7.2280057549087866</v>
      </c>
      <c r="C122" s="11">
        <f t="shared" si="11"/>
        <v>-0.12615249877625684</v>
      </c>
      <c r="D122" s="11">
        <f t="shared" si="10"/>
        <v>0.53354656653242749</v>
      </c>
      <c r="E122" s="11">
        <f t="shared" si="9"/>
        <v>0.26677328326621375</v>
      </c>
      <c r="F122" s="4"/>
      <c r="I122" s="4">
        <v>2.34</v>
      </c>
      <c r="J122" s="4">
        <v>-5.8968479206808553</v>
      </c>
    </row>
    <row r="123" spans="1:10" x14ac:dyDescent="0.35">
      <c r="A123" s="8">
        <v>2.3199999999999998</v>
      </c>
      <c r="B123" s="8">
        <v>-6.5882622759569207</v>
      </c>
      <c r="C123" s="11">
        <f t="shared" si="11"/>
        <v>-0.11498686870038352</v>
      </c>
      <c r="D123" s="11">
        <f t="shared" si="10"/>
        <v>0.58082717677486162</v>
      </c>
      <c r="E123" s="11">
        <f t="shared" si="9"/>
        <v>0.29041358838743081</v>
      </c>
      <c r="F123" s="4"/>
      <c r="I123" s="4">
        <v>2.36</v>
      </c>
      <c r="J123" s="4">
        <v>-5.1591853611212422</v>
      </c>
    </row>
    <row r="124" spans="1:10" x14ac:dyDescent="0.35">
      <c r="A124" s="8">
        <v>2.34</v>
      </c>
      <c r="B124" s="8">
        <v>-5.8968479206808553</v>
      </c>
      <c r="C124" s="11">
        <f t="shared" si="11"/>
        <v>-0.10291941170526235</v>
      </c>
      <c r="D124" s="11">
        <f t="shared" si="10"/>
        <v>0.62355243570312946</v>
      </c>
      <c r="E124" s="11">
        <f t="shared" si="9"/>
        <v>0.31177621785156473</v>
      </c>
      <c r="F124" s="4"/>
      <c r="I124" s="4">
        <v>2.38</v>
      </c>
      <c r="J124" s="4">
        <v>-4.3810599879148659</v>
      </c>
    </row>
    <row r="125" spans="1:10" x14ac:dyDescent="0.35">
      <c r="A125" s="8">
        <v>2.36</v>
      </c>
      <c r="B125" s="8">
        <v>-5.1591853611212422</v>
      </c>
      <c r="C125" s="11">
        <f t="shared" si="11"/>
        <v>-9.0044771272258323E-2</v>
      </c>
      <c r="D125" s="11">
        <f t="shared" si="10"/>
        <v>0.66138725471912341</v>
      </c>
      <c r="E125" s="11">
        <f t="shared" si="9"/>
        <v>0.3306936273595617</v>
      </c>
      <c r="F125" s="4"/>
      <c r="I125" s="4">
        <v>2.4</v>
      </c>
      <c r="J125" s="4">
        <v>-3.5685745362352139</v>
      </c>
    </row>
    <row r="126" spans="1:10" x14ac:dyDescent="0.35">
      <c r="A126" s="8">
        <v>2.38</v>
      </c>
      <c r="B126" s="8">
        <v>-4.3810599879148659</v>
      </c>
      <c r="C126" s="11">
        <f t="shared" si="11"/>
        <v>-7.6463921516497391E-2</v>
      </c>
      <c r="D126" s="11">
        <f t="shared" si="10"/>
        <v>0.694034900303103</v>
      </c>
      <c r="E126" s="11">
        <f t="shared" si="9"/>
        <v>0.3470174501515515</v>
      </c>
      <c r="F126" s="4"/>
      <c r="I126" s="4">
        <v>2.42</v>
      </c>
      <c r="J126" s="4">
        <v>-2.7281012228415178</v>
      </c>
    </row>
    <row r="127" spans="1:10" x14ac:dyDescent="0.35">
      <c r="A127" s="8">
        <v>2.4</v>
      </c>
      <c r="B127" s="8">
        <v>-3.5685745362352139</v>
      </c>
      <c r="C127" s="11">
        <f>$D$3*COS($E$3*A127)</f>
        <v>-6.228337526013418E-2</v>
      </c>
      <c r="D127" s="11">
        <f t="shared" si="10"/>
        <v>0.72123932125573365</v>
      </c>
      <c r="E127" s="11">
        <f t="shared" si="9"/>
        <v>0.36061966062786682</v>
      </c>
      <c r="I127" s="4">
        <v>2.44</v>
      </c>
      <c r="J127" s="4">
        <v>-1.866231769618987</v>
      </c>
    </row>
    <row r="128" spans="1:10" x14ac:dyDescent="0.35">
      <c r="A128" s="8">
        <v>2.42</v>
      </c>
      <c r="B128" s="8">
        <v>-2.7281012228415178</v>
      </c>
      <c r="C128" s="11">
        <f t="shared" si="11"/>
        <v>-4.7614348666268021E-2</v>
      </c>
      <c r="D128" s="11">
        <f t="shared" si="10"/>
        <v>0.74278715687406394</v>
      </c>
      <c r="E128" s="11">
        <f t="shared" si="9"/>
        <v>0.37139357843703197</v>
      </c>
      <c r="I128" s="4">
        <v>2.46</v>
      </c>
      <c r="J128" s="4">
        <v>-0.98972570556932327</v>
      </c>
    </row>
    <row r="129" spans="1:9" x14ac:dyDescent="0.35">
      <c r="A129" s="8">
        <v>2.44</v>
      </c>
      <c r="B129" s="8">
        <v>-1.866231769618987</v>
      </c>
      <c r="C129" s="11">
        <f t="shared" si="11"/>
        <v>-3.2571888985171597E-2</v>
      </c>
      <c r="D129" s="11">
        <f t="shared" si="10"/>
        <v>0.75850941031148311</v>
      </c>
      <c r="E129" s="11">
        <f t="shared" si="9"/>
        <v>0.37925470515574156</v>
      </c>
      <c r="F129" s="4"/>
      <c r="I129" s="4">
        <v>2.48</v>
      </c>
    </row>
    <row r="130" spans="1:9" x14ac:dyDescent="0.35">
      <c r="A130" s="8">
        <v>2.46</v>
      </c>
      <c r="B130" s="8">
        <v>-0.98972570556932327</v>
      </c>
      <c r="C130" s="11">
        <f t="shared" si="11"/>
        <v>-1.7273972253808671E-2</v>
      </c>
      <c r="E130" s="4"/>
      <c r="F130" s="4"/>
      <c r="I130" s="4">
        <v>2.5</v>
      </c>
    </row>
    <row r="131" spans="1:9" x14ac:dyDescent="0.35">
      <c r="I131" s="4">
        <v>2.52</v>
      </c>
    </row>
    <row r="132" spans="1:9" x14ac:dyDescent="0.35">
      <c r="I132" s="4">
        <v>2.54</v>
      </c>
    </row>
    <row r="133" spans="1:9" x14ac:dyDescent="0.35">
      <c r="I133" s="4">
        <v>2.56</v>
      </c>
    </row>
    <row r="134" spans="1:9" x14ac:dyDescent="0.35">
      <c r="I134" s="4">
        <v>2.58</v>
      </c>
    </row>
    <row r="135" spans="1:9" x14ac:dyDescent="0.35">
      <c r="I135" s="4">
        <v>2.6</v>
      </c>
    </row>
    <row r="136" spans="1:9" x14ac:dyDescent="0.35">
      <c r="I136" s="4">
        <v>2.62</v>
      </c>
    </row>
    <row r="137" spans="1:9" x14ac:dyDescent="0.35">
      <c r="I137" s="4">
        <v>2.64</v>
      </c>
    </row>
    <row r="138" spans="1:9" x14ac:dyDescent="0.35">
      <c r="I138" s="4">
        <v>2.66</v>
      </c>
    </row>
    <row r="139" spans="1:9" x14ac:dyDescent="0.35">
      <c r="I139" s="4">
        <v>2.68</v>
      </c>
    </row>
    <row r="140" spans="1:9" x14ac:dyDescent="0.35">
      <c r="I140" s="4">
        <v>2.7</v>
      </c>
    </row>
    <row r="141" spans="1:9" x14ac:dyDescent="0.35">
      <c r="I141" s="4">
        <v>2.72</v>
      </c>
    </row>
    <row r="142" spans="1:9" x14ac:dyDescent="0.35">
      <c r="I142" s="4">
        <v>2.74</v>
      </c>
    </row>
    <row r="143" spans="1:9" x14ac:dyDescent="0.35">
      <c r="I143" s="4">
        <v>2.76</v>
      </c>
    </row>
    <row r="144" spans="1:9" x14ac:dyDescent="0.35">
      <c r="I144" s="4">
        <v>2.78</v>
      </c>
    </row>
    <row r="145" spans="9:9" x14ac:dyDescent="0.35">
      <c r="I145" s="4">
        <v>2.8</v>
      </c>
    </row>
    <row r="146" spans="9:9" x14ac:dyDescent="0.35">
      <c r="I146" s="4">
        <v>2.82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SAUVAGE Stephanie</dc:creator>
  <cp:lastModifiedBy>SAUVAGE Stephanie</cp:lastModifiedBy>
  <dcterms:created xsi:type="dcterms:W3CDTF">2025-10-02T14:43:33Z</dcterms:created>
  <dcterms:modified xsi:type="dcterms:W3CDTF">2025-10-15T12:27:03Z</dcterms:modified>
</cp:coreProperties>
</file>